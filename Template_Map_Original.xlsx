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613BC276-4329-468A-B485-1DE24EEFC5CB}" xr6:coauthVersionLast="47" xr6:coauthVersionMax="47" xr10:uidLastSave="{00000000-0000-0000-0000-000000000000}"/>
  <bookViews>
    <workbookView xWindow="-108" yWindow="-108" windowWidth="23256" windowHeight="12456" xr2:uid="{60461018-3C54-4D3B-8BBE-271CD800C5D5}"/>
  </bookViews>
  <sheets>
    <sheet name="NLS - CNT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2" i="1" l="1"/>
  <c r="C12" i="1"/>
  <c r="D11" i="1"/>
  <c r="C11" i="1"/>
  <c r="D10" i="1"/>
  <c r="C10" i="1"/>
  <c r="D9" i="1"/>
  <c r="C9" i="1"/>
  <c r="D8" i="1"/>
  <c r="C8" i="1"/>
  <c r="D7" i="1"/>
  <c r="C7" i="1"/>
</calcChain>
</file>

<file path=xl/sharedStrings.xml><?xml version="1.0" encoding="utf-8"?>
<sst xmlns="http://schemas.openxmlformats.org/spreadsheetml/2006/main" count="120" uniqueCount="92">
  <si>
    <t>BÁO CÁO TỔNG QUAN &amp; BẢNG REVIEW ÁNH XẠ CHƯƠNG TRÌNH ĐÀO TẠO VỚI KHUNG NĂNG LỰC SỐ</t>
  </si>
  <si>
    <t>Căn cứ: Thông tư 02/2025/TT-BGDĐT &amp; Khung trình độ quốc gia VQF (Cập nhật 2026)</t>
  </si>
  <si>
    <t>NGÀNH : CÔNG NGHỆ THÔNG TIN</t>
  </si>
  <si>
    <t>I. TỔNG QUAN MỨC ĐỘ PHỦ RỘNG CÁC MIỀN NĂNG LỰC SỐ TRONG CTĐT</t>
  </si>
  <si>
    <t>Mã Miền</t>
  </si>
  <si>
    <t>Tên Miền Năng Lực Số</t>
  </si>
  <si>
    <t>Số Lượng Môn Học Phủ</t>
  </si>
  <si>
    <t>Số Lượng CLO Ánh Xạ</t>
  </si>
  <si>
    <t>Mức Độ Kỳ Vọng</t>
  </si>
  <si>
    <t>Đánh Giá Trạng Thái Độ Phủ</t>
  </si>
  <si>
    <t>I</t>
  </si>
  <si>
    <t>Khai thác dữ liệu và thông tin</t>
  </si>
  <si>
    <t>II</t>
  </si>
  <si>
    <t>Giao tiếp và hợp tác trong môi trường số</t>
  </si>
  <si>
    <t>III</t>
  </si>
  <si>
    <t>Sáng tạo nội dung số</t>
  </si>
  <si>
    <t>IV</t>
  </si>
  <si>
    <t>An toàn số</t>
  </si>
  <si>
    <t>V</t>
  </si>
  <si>
    <t>Giải quyết vấn đề bằng công nghệ số</t>
  </si>
  <si>
    <t>VI</t>
  </si>
  <si>
    <t>Ứng dụng Trí tuệ nhân tạo (AI)</t>
  </si>
  <si>
    <t>II. BẢNG REVIEW VÀ ÁNH XẠ CHI TIẾT THEO TỪNG HỌC PHẦN (CLO)</t>
  </si>
  <si>
    <t>(Dữ liệu mẫu, thầy cô xóa đi để nhập mới nhé)</t>
  </si>
  <si>
    <t>STT</t>
  </si>
  <si>
    <t>Tên Môn Học / Học Phần</t>
  </si>
  <si>
    <t>Mã Môn Học</t>
  </si>
  <si>
    <t>Số TC</t>
  </si>
  <si>
    <t>Khối Kiến Thức</t>
  </si>
  <si>
    <t>Mã Miền NLS</t>
  </si>
  <si>
    <t>Mã NLTP</t>
  </si>
  <si>
    <t>Tên Năng Lực Thành Phần (NLTP)</t>
  </si>
  <si>
    <t>Mức Độ NLS (Mức 1-6)</t>
  </si>
  <si>
    <t>CLO</t>
  </si>
  <si>
    <t xml:space="preserve">Nội Dung CLO </t>
  </si>
  <si>
    <t>PI</t>
  </si>
  <si>
    <t>Phương Pháp Đánh Giá</t>
  </si>
  <si>
    <t>Ghi Chú / Đề Xuất Cải Tiến</t>
  </si>
  <si>
    <t>Tin học đại cương</t>
  </si>
  <si>
    <t>Đại cương</t>
  </si>
  <si>
    <t>Duyệt, tìm kiếm và lọc dữ liệu, thông tin và nội dung số</t>
  </si>
  <si>
    <t>Mức 2</t>
  </si>
  <si>
    <t>CLO 1.2</t>
  </si>
  <si>
    <t>Tìm kiếm, thu thập và quản lý được tài liệu, dữ liệu số phục vụ học tập.</t>
  </si>
  <si>
    <t>Bài tập thực hành tuần 3</t>
  </si>
  <si>
    <t>Bảo vệ thiết bị</t>
  </si>
  <si>
    <t>CLO 3.1</t>
  </si>
  <si>
    <t>Áp dụng được các biện pháp bảo vệ thiết bị cá nhân, tài khoản số và dữ liệu.</t>
  </si>
  <si>
    <t>Trắc nghiệm giữa kỳ</t>
  </si>
  <si>
    <t>Digital Marketing</t>
  </si>
  <si>
    <t>Cơ sở ngành</t>
  </si>
  <si>
    <t>Phát triển nội dung số</t>
  </si>
  <si>
    <t>Mức 3</t>
  </si>
  <si>
    <t>CLO 2.1</t>
  </si>
  <si>
    <t>Thiết kế và sáng tạo được các nội dung số (văn bản, hình ảnh, video ngắn) cho chiến dịch Marketing.</t>
  </si>
  <si>
    <t>Đồ án nhóm (Digital Campaign)</t>
  </si>
  <si>
    <t>Sử dụng AI có đạo đức và trách nhiệm</t>
  </si>
  <si>
    <t>CLO 2.3</t>
  </si>
  <si>
    <t>Ứng dụng được các công cụ Generative AI (ChatGPT, Midjourney) để sáng tạo ý tưởng nội dung và tối ưu quy trình truyền thông.</t>
  </si>
  <si>
    <t>Đánh giá sản phẩm Đồ án</t>
  </si>
  <si>
    <t>Phân tích Dữ liệu TMĐT</t>
  </si>
  <si>
    <t>Chuyên ngành</t>
  </si>
  <si>
    <t>Đánh giá dữ liệu, thông tin và nội dung số</t>
  </si>
  <si>
    <t>Mức 4</t>
  </si>
  <si>
    <t>CLO 1.3</t>
  </si>
  <si>
    <t>Phân tích, xử lý và làm sạch dữ liệu giao dịch TMĐT để phát hiện xu hướng tiêu dùng.</t>
  </si>
  <si>
    <t>Bài tập lớn Data Analysis</t>
  </si>
  <si>
    <t>Xác định nhu cầu và giải pháp công nghệ</t>
  </si>
  <si>
    <t>CLO 3.2</t>
  </si>
  <si>
    <t>Lựa chọn và vận hành được các công cụ Business Intelligence (PowerBI, Tableau) để giải quyết bài toán kinh doanh.</t>
  </si>
  <si>
    <t>Đồ án học phần</t>
  </si>
  <si>
    <t>Cần quy định rõ công cụ sử dụng</t>
  </si>
  <si>
    <t>Quản trị Quan hệ Khách hàng (CRM)</t>
  </si>
  <si>
    <t>Tương tác thông qua công nghệ số</t>
  </si>
  <si>
    <t>CLO 2.2</t>
  </si>
  <si>
    <t>Sử dụng thành thạo phần mềm CRM để thiết lập kênh tương tác và chăm sóc khách hàng tự động.</t>
  </si>
  <si>
    <t>Thực hành Lab</t>
  </si>
  <si>
    <t>Bảo vệ dữ liệu cá nhân và quyền riêng tư</t>
  </si>
  <si>
    <t>CLO 4.1</t>
  </si>
  <si>
    <t>Tuân thủ các quy định bảo mật dữ liệu khách hàng và chính sách quyền riêng tư trên hệ thống CRM.</t>
  </si>
  <si>
    <t>Thi tự luận cuối kỳ</t>
  </si>
  <si>
    <t>Đồ án Tốt nghiệp TMĐT</t>
  </si>
  <si>
    <t>Tốt nghiệp</t>
  </si>
  <si>
    <t>Sử dụng sáng tạo công nghệ số</t>
  </si>
  <si>
    <t>Mức 5</t>
  </si>
  <si>
    <t>Xây dựng và vận hành hoàn chỉnh mô hình kinh doanh số/hệ thống TMĐT giải quyết bài toán thực tế của doanh nghiệp.</t>
  </si>
  <si>
    <t>Hội đồng chấm Khóa luận</t>
  </si>
  <si>
    <t>Đánh giá các công cụ AI</t>
  </si>
  <si>
    <t>CLO 4.3</t>
  </si>
  <si>
    <t>Đánh giá, tích hợp các giải pháp AI (Chatbot, Recommendation engine) vào hệ thống TMĐT.</t>
  </si>
  <si>
    <t>Báo cáo khóa luận</t>
  </si>
  <si>
    <t>Tích hợp AI chuyên sâu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</si>
</sst>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m"/>
  </numFmts>
  <fonts count="13" x14ac:knownFonts="1">
    <font>
      <sz val="10"/>
      <color rgb="FF000000"/>
      <name val="Arial"/>
      <scheme val="minor"/>
    </font>
    <font>
      <b/>
      <sz val="15"/>
      <color rgb="FF1F4E79"/>
      <name val="Roboto"/>
    </font>
    <font>
      <sz val="11"/>
      <color rgb="FF000000"/>
      <name val="Roboto"/>
    </font>
    <font>
      <i/>
      <sz val="10"/>
      <color rgb="FF595959"/>
      <name val="Roboto"/>
    </font>
    <font>
      <b/>
      <sz val="13"/>
      <color rgb="FFFF0000"/>
      <name val="Roboto"/>
    </font>
    <font>
      <b/>
      <sz val="11"/>
      <color rgb="FF1F4E79"/>
      <name val="Roboto"/>
    </font>
    <font>
      <b/>
      <sz val="10"/>
      <color rgb="FFFFFFFF"/>
      <name val="Roboto"/>
    </font>
    <font>
      <sz val="10"/>
      <color theme="1"/>
      <name val="Arial"/>
      <scheme val="minor"/>
    </font>
    <font>
      <sz val="10"/>
      <color theme="1"/>
      <name val="Roboto"/>
    </font>
    <font>
      <b/>
      <sz val="10"/>
      <color rgb="FFFF0000"/>
      <name val="Roboto"/>
    </font>
    <font>
      <sz val="11"/>
      <color rgb="FFFFFFFF"/>
      <name val="Roboto"/>
    </font>
    <font>
      <i/>
      <sz val="9"/>
      <color rgb="FFFF0000"/>
      <name val="Roboto"/>
    </font>
    <font>
      <sz val="11"/>
      <color rgb="FFFF0000"/>
      <name val="Roboto"/>
    </font>
  </fonts>
  <fills count="4">
    <fill>
      <patternFill patternType="none"/>
    </fill>
    <fill>
      <patternFill patternType="gray125"/>
    </fill>
    <fill>
      <patternFill patternType="solid">
        <fgColor rgb="FF963634"/>
        <bgColor rgb="FF963634"/>
      </patternFill>
    </fill>
    <fill>
      <patternFill patternType="solid">
        <fgColor rgb="FF38761D"/>
        <bgColor rgb="FF38761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left"/>
    </xf>
    <xf numFmtId="0" fontId="9" fillId="0" borderId="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6" fillId="3" borderId="1" xfId="0" applyFont="1" applyFill="1" applyBorder="1" applyAlignment="1">
      <alignment horizontal="center" vertical="center" wrapText="1"/>
    </xf>
    <xf numFmtId="164" fontId="8" fillId="0" borderId="1" xfId="0" applyNumberFormat="1" applyFont="1" applyBorder="1" applyAlignment="1">
      <alignment horizont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B1B5E-4CE3-4EE1-B2CD-D0656A2727CF}">
  <sheetPr>
    <outlinePr summaryBelow="0" summaryRight="0"/>
  </sheetPr>
  <dimension ref="A1:Z218"/>
  <sheetViews>
    <sheetView tabSelected="1" workbookViewId="0">
      <selection activeCell="G11" sqref="G11"/>
    </sheetView>
  </sheetViews>
  <sheetFormatPr defaultColWidth="12.6640625" defaultRowHeight="15.75" customHeight="1" x14ac:dyDescent="0.25"/>
  <cols>
    <col min="1" max="1" width="5.6640625" customWidth="1"/>
    <col min="2" max="2" width="30.77734375" customWidth="1"/>
    <col min="3" max="3" width="9.44140625" customWidth="1"/>
    <col min="6" max="6" width="9.77734375" customWidth="1"/>
    <col min="7" max="7" width="8.88671875" customWidth="1"/>
    <col min="8" max="8" width="41" customWidth="1"/>
    <col min="9" max="9" width="11.44140625" customWidth="1"/>
    <col min="11" max="11" width="94.77734375" customWidth="1"/>
    <col min="12" max="12" width="7" customWidth="1"/>
    <col min="13" max="13" width="24.21875" customWidth="1"/>
    <col min="14" max="14" width="25.21875" customWidth="1"/>
  </cols>
  <sheetData>
    <row r="1" spans="1:26" ht="19.2" x14ac:dyDescent="0.35">
      <c r="A1" s="1" t="s">
        <v>0</v>
      </c>
      <c r="B1" s="2"/>
      <c r="C1" s="2"/>
      <c r="D1" s="2"/>
      <c r="E1" s="2"/>
      <c r="F1" s="2"/>
      <c r="G1" s="2"/>
      <c r="H1" s="2"/>
      <c r="I1" s="3"/>
      <c r="J1" s="3"/>
      <c r="K1" s="3"/>
      <c r="L1" s="3"/>
      <c r="M1" s="3"/>
      <c r="N1" s="3"/>
    </row>
    <row r="2" spans="1:26" ht="14.4" x14ac:dyDescent="0.3">
      <c r="A2" s="4" t="s">
        <v>1</v>
      </c>
      <c r="B2" s="2"/>
      <c r="C2" s="2"/>
      <c r="D2" s="2"/>
      <c r="E2" s="2"/>
      <c r="F2" s="2"/>
      <c r="G2" s="2"/>
      <c r="H2" s="3"/>
      <c r="I2" s="3"/>
      <c r="J2" s="3"/>
      <c r="K2" s="3"/>
      <c r="L2" s="3"/>
      <c r="M2" s="3"/>
      <c r="N2" s="3"/>
    </row>
    <row r="3" spans="1:26" ht="17.399999999999999" x14ac:dyDescent="0.35">
      <c r="A3" s="5" t="s">
        <v>2</v>
      </c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ht="14.4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26" ht="14.4" x14ac:dyDescent="0.3">
      <c r="A5" s="6" t="s">
        <v>3</v>
      </c>
      <c r="B5" s="2"/>
      <c r="C5" s="2"/>
      <c r="D5" s="2"/>
      <c r="E5" s="2"/>
      <c r="F5" s="2"/>
      <c r="G5" s="2"/>
      <c r="H5" s="3"/>
      <c r="I5" s="3"/>
      <c r="J5" s="3"/>
      <c r="K5" s="3"/>
      <c r="L5" s="3"/>
      <c r="M5" s="3"/>
      <c r="N5" s="3"/>
    </row>
    <row r="6" spans="1:26" ht="45" customHeight="1" x14ac:dyDescent="0.25">
      <c r="A6" s="7" t="s">
        <v>4</v>
      </c>
      <c r="B6" s="7" t="s">
        <v>5</v>
      </c>
      <c r="C6" s="7" t="s">
        <v>6</v>
      </c>
      <c r="D6" s="7" t="s">
        <v>7</v>
      </c>
      <c r="E6" s="8" t="s">
        <v>8</v>
      </c>
      <c r="F6" s="8" t="s">
        <v>9</v>
      </c>
      <c r="G6" s="9"/>
      <c r="H6" s="9"/>
      <c r="I6" s="9"/>
      <c r="J6" s="9"/>
      <c r="K6" s="9"/>
      <c r="L6" s="9"/>
      <c r="M6" s="9"/>
      <c r="N6" s="9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14.4" x14ac:dyDescent="0.3">
      <c r="A7" s="11" t="s">
        <v>10</v>
      </c>
      <c r="B7" s="12" t="s">
        <v>11</v>
      </c>
      <c r="C7" s="13">
        <f>COUNTIF(F$18:F$100, "I")</f>
        <v>2</v>
      </c>
      <c r="D7" s="13">
        <f>COUNTIFS(F$18:F$100, "I", J$18:J$100, "&lt;&gt;")</f>
        <v>2</v>
      </c>
      <c r="E7" s="14"/>
      <c r="F7" s="14"/>
      <c r="G7" s="3"/>
      <c r="H7" s="3"/>
      <c r="I7" s="3"/>
      <c r="J7" s="3"/>
      <c r="K7" s="3"/>
      <c r="L7" s="3"/>
      <c r="M7" s="3"/>
      <c r="N7" s="3"/>
    </row>
    <row r="8" spans="1:26" ht="14.4" x14ac:dyDescent="0.3">
      <c r="A8" s="11" t="s">
        <v>12</v>
      </c>
      <c r="B8" s="12" t="s">
        <v>13</v>
      </c>
      <c r="C8" s="13">
        <f>COUNTIF(F$18:F$100, "II")</f>
        <v>1</v>
      </c>
      <c r="D8" s="13">
        <f>COUNTIFS(F$18:F$100, "II", J$18:J$100, "&lt;&gt;")</f>
        <v>1</v>
      </c>
      <c r="E8" s="14"/>
      <c r="F8" s="14"/>
      <c r="G8" s="3"/>
      <c r="H8" s="3"/>
      <c r="I8" s="3"/>
      <c r="J8" s="3"/>
      <c r="K8" s="3"/>
      <c r="L8" s="3"/>
      <c r="M8" s="3"/>
      <c r="N8" s="3"/>
    </row>
    <row r="9" spans="1:26" ht="14.4" x14ac:dyDescent="0.3">
      <c r="A9" s="11" t="s">
        <v>14</v>
      </c>
      <c r="B9" s="12" t="s">
        <v>15</v>
      </c>
      <c r="C9" s="13">
        <f>COUNTIF(F$18:F$100, "III")</f>
        <v>1</v>
      </c>
      <c r="D9" s="13">
        <f>COUNTIFS(F$18:F$100, "III", J$18:J$100, "&lt;&gt;")</f>
        <v>1</v>
      </c>
      <c r="E9" s="14"/>
      <c r="F9" s="14"/>
      <c r="G9" s="3"/>
      <c r="H9" s="3"/>
      <c r="I9" s="3"/>
      <c r="J9" s="3"/>
      <c r="K9" s="3"/>
      <c r="L9" s="3"/>
      <c r="M9" s="3"/>
      <c r="N9" s="3"/>
    </row>
    <row r="10" spans="1:26" ht="14.4" x14ac:dyDescent="0.3">
      <c r="A10" s="11" t="s">
        <v>16</v>
      </c>
      <c r="B10" s="12" t="s">
        <v>17</v>
      </c>
      <c r="C10" s="13">
        <f>COUNTIF(F$18:F$100, "IV")</f>
        <v>2</v>
      </c>
      <c r="D10" s="13">
        <f>COUNTIFS(F$18:F$100, "IV", J$18:J$100, "&lt;&gt;")</f>
        <v>2</v>
      </c>
      <c r="E10" s="14"/>
      <c r="F10" s="14"/>
      <c r="G10" s="3"/>
      <c r="H10" s="3"/>
      <c r="I10" s="3"/>
      <c r="J10" s="3"/>
      <c r="K10" s="3"/>
      <c r="L10" s="3"/>
      <c r="M10" s="3"/>
      <c r="N10" s="3"/>
    </row>
    <row r="11" spans="1:26" ht="14.4" x14ac:dyDescent="0.3">
      <c r="A11" s="11" t="s">
        <v>18</v>
      </c>
      <c r="B11" s="12" t="s">
        <v>19</v>
      </c>
      <c r="C11" s="13">
        <f>COUNTIF(F$18:F$100, "V")</f>
        <v>2</v>
      </c>
      <c r="D11" s="13">
        <f>COUNTIFS(F$18:F$100, "V", J$18:J$100, "&lt;&gt;")</f>
        <v>2</v>
      </c>
      <c r="E11" s="14"/>
      <c r="F11" s="14"/>
      <c r="G11" s="3"/>
      <c r="H11" s="3"/>
      <c r="I11" s="3"/>
      <c r="J11" s="3"/>
      <c r="K11" s="3"/>
      <c r="L11" s="3"/>
      <c r="M11" s="3"/>
      <c r="N11" s="3"/>
    </row>
    <row r="12" spans="1:26" ht="14.4" x14ac:dyDescent="0.3">
      <c r="A12" s="11" t="s">
        <v>20</v>
      </c>
      <c r="B12" s="12" t="s">
        <v>21</v>
      </c>
      <c r="C12" s="13">
        <f>COUNTIF(F$18:F$100, "VI")</f>
        <v>2</v>
      </c>
      <c r="D12" s="13">
        <f>COUNTIFS(F$18:F$100, "VI", J$18:J$100, "&lt;&gt;")</f>
        <v>2</v>
      </c>
      <c r="E12" s="14"/>
      <c r="F12" s="14"/>
      <c r="G12" s="3"/>
      <c r="H12" s="3"/>
      <c r="I12" s="3"/>
      <c r="J12" s="3"/>
      <c r="K12" s="3"/>
      <c r="L12" s="3"/>
      <c r="M12" s="3"/>
      <c r="N12" s="3"/>
    </row>
    <row r="13" spans="1:26" ht="14.4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26" ht="14.4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ht="14.4" x14ac:dyDescent="0.3">
      <c r="A15" s="6" t="s">
        <v>22</v>
      </c>
      <c r="B15" s="2"/>
      <c r="C15" s="2"/>
      <c r="D15" s="2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26" ht="14.4" x14ac:dyDescent="0.3">
      <c r="A16" s="15"/>
      <c r="B16" s="16" t="s">
        <v>23</v>
      </c>
      <c r="C16" s="15"/>
      <c r="D16" s="15"/>
      <c r="E16" s="15"/>
      <c r="F16" s="15"/>
      <c r="G16" s="15"/>
      <c r="H16" s="15"/>
      <c r="I16" s="15"/>
      <c r="J16" s="17"/>
      <c r="K16" s="15"/>
      <c r="L16" s="15"/>
      <c r="M16" s="15"/>
      <c r="N16" s="15"/>
    </row>
    <row r="17" spans="1:26" ht="40.5" customHeight="1" x14ac:dyDescent="0.25">
      <c r="A17" s="18" t="s">
        <v>24</v>
      </c>
      <c r="B17" s="18" t="s">
        <v>25</v>
      </c>
      <c r="C17" s="18" t="s">
        <v>26</v>
      </c>
      <c r="D17" s="18" t="s">
        <v>27</v>
      </c>
      <c r="E17" s="18" t="s">
        <v>28</v>
      </c>
      <c r="F17" s="18" t="s">
        <v>29</v>
      </c>
      <c r="G17" s="18" t="s">
        <v>30</v>
      </c>
      <c r="H17" s="18" t="s">
        <v>31</v>
      </c>
      <c r="I17" s="18" t="s">
        <v>32</v>
      </c>
      <c r="J17" s="18" t="s">
        <v>33</v>
      </c>
      <c r="K17" s="18" t="s">
        <v>34</v>
      </c>
      <c r="L17" s="18" t="s">
        <v>35</v>
      </c>
      <c r="M17" s="18" t="s">
        <v>36</v>
      </c>
      <c r="N17" s="18" t="s">
        <v>37</v>
      </c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13.2" x14ac:dyDescent="0.25">
      <c r="A18" s="11">
        <v>1</v>
      </c>
      <c r="B18" s="12" t="s">
        <v>38</v>
      </c>
      <c r="C18" s="11">
        <v>10545521</v>
      </c>
      <c r="D18" s="11">
        <v>3</v>
      </c>
      <c r="E18" s="12" t="s">
        <v>39</v>
      </c>
      <c r="F18" s="11" t="s">
        <v>10</v>
      </c>
      <c r="G18" s="19">
        <v>46023</v>
      </c>
      <c r="H18" s="12" t="s">
        <v>40</v>
      </c>
      <c r="I18" s="11" t="s">
        <v>41</v>
      </c>
      <c r="J18" s="11" t="s">
        <v>42</v>
      </c>
      <c r="K18" s="12" t="s">
        <v>43</v>
      </c>
      <c r="L18" s="19">
        <v>46055</v>
      </c>
      <c r="M18" s="12" t="s">
        <v>44</v>
      </c>
      <c r="N18" s="12"/>
    </row>
    <row r="19" spans="1:26" ht="13.2" x14ac:dyDescent="0.25">
      <c r="A19" s="11">
        <v>1</v>
      </c>
      <c r="B19" s="12" t="s">
        <v>38</v>
      </c>
      <c r="C19" s="11"/>
      <c r="D19" s="11">
        <v>3</v>
      </c>
      <c r="E19" s="12" t="s">
        <v>39</v>
      </c>
      <c r="F19" s="11" t="s">
        <v>16</v>
      </c>
      <c r="G19" s="19">
        <v>46026</v>
      </c>
      <c r="H19" s="12" t="s">
        <v>45</v>
      </c>
      <c r="I19" s="11" t="s">
        <v>41</v>
      </c>
      <c r="J19" s="11" t="s">
        <v>46</v>
      </c>
      <c r="K19" s="12" t="s">
        <v>47</v>
      </c>
      <c r="L19" s="19">
        <v>46114</v>
      </c>
      <c r="M19" s="12" t="s">
        <v>48</v>
      </c>
      <c r="N19" s="12"/>
    </row>
    <row r="20" spans="1:26" ht="13.2" x14ac:dyDescent="0.25">
      <c r="A20" s="11">
        <v>2</v>
      </c>
      <c r="B20" s="12" t="s">
        <v>49</v>
      </c>
      <c r="C20" s="11"/>
      <c r="D20" s="11">
        <v>3</v>
      </c>
      <c r="E20" s="12" t="s">
        <v>50</v>
      </c>
      <c r="F20" s="11" t="s">
        <v>14</v>
      </c>
      <c r="G20" s="19">
        <v>46025</v>
      </c>
      <c r="H20" s="12" t="s">
        <v>51</v>
      </c>
      <c r="I20" s="11" t="s">
        <v>52</v>
      </c>
      <c r="J20" s="11" t="s">
        <v>53</v>
      </c>
      <c r="K20" s="12" t="s">
        <v>54</v>
      </c>
      <c r="L20" s="19">
        <v>46023</v>
      </c>
      <c r="M20" s="12" t="s">
        <v>55</v>
      </c>
      <c r="N20" s="12"/>
    </row>
    <row r="21" spans="1:26" ht="13.2" x14ac:dyDescent="0.25">
      <c r="A21" s="11">
        <v>2</v>
      </c>
      <c r="B21" s="12" t="s">
        <v>49</v>
      </c>
      <c r="C21" s="11"/>
      <c r="D21" s="11">
        <v>3</v>
      </c>
      <c r="E21" s="12" t="s">
        <v>50</v>
      </c>
      <c r="F21" s="11" t="s">
        <v>20</v>
      </c>
      <c r="G21" s="19">
        <v>46059</v>
      </c>
      <c r="H21" s="12" t="s">
        <v>56</v>
      </c>
      <c r="I21" s="11" t="s">
        <v>52</v>
      </c>
      <c r="J21" s="11" t="s">
        <v>57</v>
      </c>
      <c r="K21" s="12" t="s">
        <v>58</v>
      </c>
      <c r="L21" s="19">
        <v>46025</v>
      </c>
      <c r="M21" s="12" t="s">
        <v>59</v>
      </c>
      <c r="N21" s="12"/>
    </row>
    <row r="22" spans="1:26" ht="13.2" x14ac:dyDescent="0.25">
      <c r="A22" s="11">
        <v>3</v>
      </c>
      <c r="B22" s="12" t="s">
        <v>60</v>
      </c>
      <c r="C22" s="11"/>
      <c r="D22" s="11">
        <v>3</v>
      </c>
      <c r="E22" s="12" t="s">
        <v>61</v>
      </c>
      <c r="F22" s="11" t="s">
        <v>10</v>
      </c>
      <c r="G22" s="19">
        <v>46054</v>
      </c>
      <c r="H22" s="12" t="s">
        <v>62</v>
      </c>
      <c r="I22" s="11" t="s">
        <v>63</v>
      </c>
      <c r="J22" s="11" t="s">
        <v>64</v>
      </c>
      <c r="K22" s="12" t="s">
        <v>65</v>
      </c>
      <c r="L22" s="19">
        <v>46057</v>
      </c>
      <c r="M22" s="12" t="s">
        <v>66</v>
      </c>
      <c r="N22" s="12"/>
    </row>
    <row r="23" spans="1:26" ht="13.2" x14ac:dyDescent="0.25">
      <c r="A23" s="11">
        <v>3</v>
      </c>
      <c r="B23" s="12" t="s">
        <v>60</v>
      </c>
      <c r="C23" s="11"/>
      <c r="D23" s="11">
        <v>3</v>
      </c>
      <c r="E23" s="12" t="s">
        <v>61</v>
      </c>
      <c r="F23" s="11" t="s">
        <v>18</v>
      </c>
      <c r="G23" s="19">
        <v>46058</v>
      </c>
      <c r="H23" s="12" t="s">
        <v>67</v>
      </c>
      <c r="I23" s="11" t="s">
        <v>63</v>
      </c>
      <c r="J23" s="11" t="s">
        <v>68</v>
      </c>
      <c r="K23" s="12" t="s">
        <v>69</v>
      </c>
      <c r="L23" s="19">
        <v>46085</v>
      </c>
      <c r="M23" s="12" t="s">
        <v>70</v>
      </c>
      <c r="N23" s="12" t="s">
        <v>71</v>
      </c>
    </row>
    <row r="24" spans="1:26" ht="13.2" x14ac:dyDescent="0.25">
      <c r="A24" s="11">
        <v>4</v>
      </c>
      <c r="B24" s="12" t="s">
        <v>72</v>
      </c>
      <c r="C24" s="11"/>
      <c r="D24" s="11">
        <v>3</v>
      </c>
      <c r="E24" s="12" t="s">
        <v>61</v>
      </c>
      <c r="F24" s="11" t="s">
        <v>12</v>
      </c>
      <c r="G24" s="19">
        <v>46024</v>
      </c>
      <c r="H24" s="12" t="s">
        <v>73</v>
      </c>
      <c r="I24" s="11" t="s">
        <v>52</v>
      </c>
      <c r="J24" s="11" t="s">
        <v>74</v>
      </c>
      <c r="K24" s="12" t="s">
        <v>75</v>
      </c>
      <c r="L24" s="19">
        <v>46084</v>
      </c>
      <c r="M24" s="12" t="s">
        <v>76</v>
      </c>
      <c r="N24" s="12"/>
    </row>
    <row r="25" spans="1:26" ht="13.2" x14ac:dyDescent="0.25">
      <c r="A25" s="11">
        <v>4</v>
      </c>
      <c r="B25" s="12" t="s">
        <v>72</v>
      </c>
      <c r="C25" s="11"/>
      <c r="D25" s="11">
        <v>3</v>
      </c>
      <c r="E25" s="12" t="s">
        <v>61</v>
      </c>
      <c r="F25" s="11" t="s">
        <v>16</v>
      </c>
      <c r="G25" s="19">
        <v>46057</v>
      </c>
      <c r="H25" s="12" t="s">
        <v>77</v>
      </c>
      <c r="I25" s="11" t="s">
        <v>63</v>
      </c>
      <c r="J25" s="11" t="s">
        <v>78</v>
      </c>
      <c r="K25" s="12" t="s">
        <v>79</v>
      </c>
      <c r="L25" s="19">
        <v>46056</v>
      </c>
      <c r="M25" s="12" t="s">
        <v>80</v>
      </c>
      <c r="N25" s="12"/>
    </row>
    <row r="26" spans="1:26" ht="13.2" x14ac:dyDescent="0.25">
      <c r="A26" s="11">
        <v>5</v>
      </c>
      <c r="B26" s="12" t="s">
        <v>81</v>
      </c>
      <c r="C26" s="11"/>
      <c r="D26" s="11">
        <v>10</v>
      </c>
      <c r="E26" s="12" t="s">
        <v>82</v>
      </c>
      <c r="F26" s="11" t="s">
        <v>18</v>
      </c>
      <c r="G26" s="19">
        <v>46086</v>
      </c>
      <c r="H26" s="12" t="s">
        <v>83</v>
      </c>
      <c r="I26" s="11" t="s">
        <v>84</v>
      </c>
      <c r="J26" s="11" t="s">
        <v>78</v>
      </c>
      <c r="K26" s="12" t="s">
        <v>85</v>
      </c>
      <c r="L26" s="19">
        <v>46057</v>
      </c>
      <c r="M26" s="12" t="s">
        <v>86</v>
      </c>
      <c r="N26" s="12"/>
    </row>
    <row r="27" spans="1:26" ht="13.2" x14ac:dyDescent="0.25">
      <c r="A27" s="11">
        <v>5</v>
      </c>
      <c r="B27" s="12" t="s">
        <v>81</v>
      </c>
      <c r="C27" s="11"/>
      <c r="D27" s="11">
        <v>10</v>
      </c>
      <c r="E27" s="12" t="s">
        <v>82</v>
      </c>
      <c r="F27" s="11" t="s">
        <v>20</v>
      </c>
      <c r="G27" s="19">
        <v>46087</v>
      </c>
      <c r="H27" s="12" t="s">
        <v>87</v>
      </c>
      <c r="I27" s="11" t="s">
        <v>63</v>
      </c>
      <c r="J27" s="11" t="s">
        <v>88</v>
      </c>
      <c r="K27" s="12" t="s">
        <v>89</v>
      </c>
      <c r="L27" s="19">
        <v>46026</v>
      </c>
      <c r="M27" s="12" t="s">
        <v>90</v>
      </c>
      <c r="N27" s="12" t="s">
        <v>91</v>
      </c>
    </row>
    <row r="28" spans="1:26" ht="14.4" x14ac:dyDescent="0.3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</row>
    <row r="29" spans="1:26" ht="14.4" x14ac:dyDescent="0.3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</row>
    <row r="30" spans="1:26" ht="14.4" x14ac:dyDescent="0.3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</row>
    <row r="31" spans="1:26" ht="14.4" x14ac:dyDescent="0.3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</row>
    <row r="32" spans="1:26" ht="14.4" x14ac:dyDescent="0.3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</row>
    <row r="33" spans="1:14" ht="14.4" x14ac:dyDescent="0.3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</row>
    <row r="34" spans="1:14" ht="14.4" x14ac:dyDescent="0.3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</row>
    <row r="35" spans="1:14" ht="14.4" x14ac:dyDescent="0.3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</row>
    <row r="36" spans="1:14" ht="14.4" x14ac:dyDescent="0.3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</row>
    <row r="37" spans="1:14" ht="14.4" x14ac:dyDescent="0.3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</row>
    <row r="38" spans="1:14" ht="14.4" x14ac:dyDescent="0.3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</row>
    <row r="39" spans="1:14" ht="14.4" x14ac:dyDescent="0.3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</row>
    <row r="40" spans="1:14" ht="14.4" x14ac:dyDescent="0.3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</row>
    <row r="41" spans="1:14" ht="14.4" x14ac:dyDescent="0.3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</row>
    <row r="42" spans="1:14" ht="14.4" x14ac:dyDescent="0.3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</row>
    <row r="43" spans="1:14" ht="14.4" x14ac:dyDescent="0.3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</row>
    <row r="44" spans="1:14" ht="14.4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</row>
    <row r="45" spans="1:14" ht="14.4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</row>
    <row r="46" spans="1:14" ht="14.4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spans="1:14" ht="14.4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</row>
    <row r="48" spans="1:14" ht="14.4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</row>
    <row r="49" spans="1:14" ht="14.4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</row>
    <row r="50" spans="1:14" ht="14.4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</row>
    <row r="51" spans="1:14" ht="14.4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</row>
    <row r="52" spans="1:14" ht="14.4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</row>
    <row r="53" spans="1:14" ht="14.4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</row>
    <row r="54" spans="1:14" ht="14.4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</row>
    <row r="55" spans="1:14" ht="14.4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1:14" ht="14.4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1:14" ht="14.4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</row>
    <row r="58" spans="1:14" ht="14.4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</row>
    <row r="59" spans="1:14" ht="14.4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</row>
    <row r="60" spans="1:14" ht="14.4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</row>
    <row r="61" spans="1:14" ht="14.4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</row>
    <row r="62" spans="1:14" ht="14.4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</row>
    <row r="63" spans="1:14" ht="14.4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</row>
    <row r="64" spans="1:14" ht="14.4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</row>
    <row r="65" spans="1:14" ht="14.4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</row>
    <row r="66" spans="1:14" ht="14.4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</row>
    <row r="67" spans="1:14" ht="14.4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1:14" ht="14.4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</row>
    <row r="69" spans="1:14" ht="14.4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</row>
    <row r="70" spans="1:14" ht="14.4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</row>
    <row r="71" spans="1:14" ht="14.4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</row>
    <row r="72" spans="1:14" ht="14.4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</row>
    <row r="73" spans="1:14" ht="14.4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</row>
    <row r="74" spans="1:14" ht="14.4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</row>
    <row r="75" spans="1:14" ht="14.4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</row>
    <row r="76" spans="1:14" ht="14.4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</row>
    <row r="77" spans="1:14" ht="14.4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</row>
    <row r="78" spans="1:14" ht="14.4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</row>
    <row r="79" spans="1:14" ht="14.4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</row>
    <row r="80" spans="1:14" ht="14.4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</row>
    <row r="81" spans="1:14" ht="14.4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1:14" ht="14.4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1:14" ht="14.4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1:14" ht="14.4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1:14" ht="14.4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1:14" ht="14.4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1:14" ht="14.4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1:14" ht="14.4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1:14" ht="14.4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1:14" ht="14.4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1:14" ht="14.4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1:14" ht="14.4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1:14" ht="14.4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1:14" ht="14.4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1:14" ht="14.4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1:14" ht="14.4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1:14" ht="14.4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1:14" ht="14.4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1:14" ht="14.4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1:14" ht="14.4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1:14" ht="14.4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1:14" ht="14.4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1:14" ht="14.4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1:14" ht="14.4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1:14" ht="14.4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1:14" ht="14.4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1:14" ht="14.4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1:14" ht="14.4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1:14" ht="14.4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1:14" ht="14.4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1:14" ht="14.4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1:14" ht="14.4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1:14" ht="14.4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1:14" ht="14.4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1:14" ht="14.4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1:14" ht="14.4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1:14" ht="14.4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1:14" ht="14.4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1:14" ht="14.4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1:14" ht="14.4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1:14" ht="14.4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1:14" ht="14.4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1:14" ht="14.4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1:14" ht="14.4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1:14" ht="14.4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1:14" ht="14.4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  <row r="127" spans="1:14" ht="14.4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</row>
    <row r="128" spans="1:14" ht="14.4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</row>
    <row r="129" spans="1:14" ht="14.4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1:14" ht="14.4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1:14" ht="14.4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1:14" ht="14.4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1:14" ht="14.4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1:14" ht="14.4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1:14" ht="14.4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1:14" ht="14.4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1:14" ht="14.4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1:14" ht="14.4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1:14" ht="14.4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1:14" ht="14.4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1:14" ht="14.4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1:14" ht="14.4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1:14" ht="14.4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1:14" ht="14.4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1:14" ht="14.4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1:14" ht="14.4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1:14" ht="14.4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1:14" ht="14.4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1:14" ht="14.4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1:14" ht="14.4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1:14" ht="14.4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1:14" ht="14.4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1:14" ht="14.4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1:14" ht="14.4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1:14" ht="14.4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1:14" ht="14.4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1:14" ht="14.4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1:14" ht="14.4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1:14" ht="14.4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1:14" ht="14.4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1:14" ht="14.4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1:14" ht="14.4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1:14" ht="14.4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1:14" ht="14.4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1:14" ht="14.4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1:14" ht="14.4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1:14" ht="14.4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1:14" ht="14.4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1:14" ht="14.4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1:14" ht="14.4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1:14" ht="14.4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1:14" ht="14.4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1:14" ht="14.4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1:14" ht="14.4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  <row r="175" spans="1:14" ht="14.4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</row>
    <row r="176" spans="1:14" ht="14.4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</row>
    <row r="177" spans="1:14" ht="14.4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</row>
    <row r="178" spans="1:14" ht="14.4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</row>
    <row r="179" spans="1:14" ht="14.4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</row>
    <row r="180" spans="1:14" ht="14.4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</row>
    <row r="181" spans="1:14" ht="14.4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</row>
    <row r="182" spans="1:14" ht="14.4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</row>
    <row r="183" spans="1:14" ht="14.4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</row>
    <row r="184" spans="1:14" ht="14.4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</row>
    <row r="185" spans="1:14" ht="14.4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</row>
    <row r="186" spans="1:14" ht="14.4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</row>
    <row r="187" spans="1:14" ht="14.4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</row>
    <row r="188" spans="1:14" ht="14.4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</row>
    <row r="189" spans="1:14" ht="14.4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</row>
    <row r="190" spans="1:14" ht="14.4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</row>
    <row r="191" spans="1:14" ht="14.4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</row>
    <row r="192" spans="1:14" ht="14.4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</row>
    <row r="193" spans="1:14" ht="14.4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</row>
    <row r="194" spans="1:14" ht="14.4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</row>
    <row r="195" spans="1:14" ht="14.4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</row>
    <row r="196" spans="1:14" ht="14.4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</row>
    <row r="197" spans="1:14" ht="14.4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</row>
    <row r="198" spans="1:14" ht="14.4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</row>
    <row r="199" spans="1:14" ht="14.4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</row>
    <row r="200" spans="1:14" ht="14.4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</row>
    <row r="201" spans="1:14" ht="14.4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</row>
    <row r="202" spans="1:14" ht="14.4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</row>
    <row r="203" spans="1:14" ht="14.4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</row>
    <row r="204" spans="1:14" ht="14.4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</row>
    <row r="205" spans="1:14" ht="14.4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</row>
    <row r="206" spans="1:14" ht="14.4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</row>
    <row r="207" spans="1:14" ht="14.4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</row>
    <row r="208" spans="1:14" ht="14.4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</row>
    <row r="209" spans="1:14" ht="14.4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</row>
    <row r="210" spans="1:14" ht="14.4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</row>
    <row r="211" spans="1:14" ht="14.4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</row>
    <row r="212" spans="1:14" ht="14.4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</row>
    <row r="213" spans="1:14" ht="14.4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</row>
    <row r="214" spans="1:14" ht="14.4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</row>
    <row r="215" spans="1:14" ht="14.4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</row>
    <row r="216" spans="1:14" ht="14.4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</row>
    <row r="217" spans="1:14" ht="14.4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</row>
    <row r="218" spans="1:14" ht="14.4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</row>
  </sheetData>
  <mergeCells count="5">
    <mergeCell ref="A1:H1"/>
    <mergeCell ref="A2:G2"/>
    <mergeCell ref="A3:B3"/>
    <mergeCell ref="A5:G5"/>
    <mergeCell ref="A15:D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NLS - CNTT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Minh Phuc</dc:creator>
  <cp:lastModifiedBy>Nguyen Minh Phuc</cp:lastModifiedBy>
  <dcterms:created xsi:type="dcterms:W3CDTF">2026-09-11T05:32:52Z</dcterms:created>
  <dcterms:modified xsi:type="dcterms:W3CDTF">2026-09-11T05:35:57Z</dcterms:modified>
</cp:coreProperties>
</file>