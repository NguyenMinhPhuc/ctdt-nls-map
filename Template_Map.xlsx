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NLS - CNTT" sheetId="1" state="visible" r:id="rId1"/>
    <sheet xmlns:r="http://schemas.openxmlformats.org/officeDocument/2006/relationships" name="Gợi Ý Bổ Sung &amp; Minh Chứng NLS" sheetId="2" state="visible" r:id="rId2"/>
  </sheets>
  <definedNames/>
  <calcPr calcId="191029" fullCalcOnLoad="1"/>
</workbook>
</file>

<file path=xl/styles.xml><?xml version="1.0" encoding="utf-8"?>
<styleSheet xmlns="http://schemas.openxmlformats.org/spreadsheetml/2006/main">
  <numFmts count="1">
    <numFmt numFmtId="164" formatCode="d\.m"/>
  </numFmts>
  <fonts count="25">
    <font>
      <name val="Arial"/>
      <color rgb="FF000000"/>
      <sz val="10"/>
      <scheme val="minor"/>
    </font>
    <font>
      <name val="Roboto"/>
      <b val="1"/>
      <color rgb="FF1F4E79"/>
      <sz val="15"/>
    </font>
    <font>
      <name val="Roboto"/>
      <color rgb="FF000000"/>
      <sz val="11"/>
    </font>
    <font>
      <name val="Roboto"/>
      <i val="1"/>
      <color rgb="FF595959"/>
      <sz val="10"/>
    </font>
    <font>
      <name val="Roboto"/>
      <b val="1"/>
      <color rgb="FFFF0000"/>
      <sz val="13"/>
    </font>
    <font>
      <name val="Roboto"/>
      <b val="1"/>
      <color rgb="FF1F4E79"/>
      <sz val="11"/>
    </font>
    <font>
      <name val="Roboto"/>
      <b val="1"/>
      <color rgb="FFFFFFFF"/>
      <sz val="10"/>
    </font>
    <font>
      <name val="Arial"/>
      <family val="2"/>
      <color theme="1"/>
      <sz val="10"/>
      <scheme val="minor"/>
    </font>
    <font>
      <name val="Roboto"/>
      <color theme="1"/>
      <sz val="10"/>
    </font>
    <font>
      <name val="Roboto"/>
      <b val="1"/>
      <color rgb="FFFF0000"/>
      <sz val="10"/>
    </font>
    <font>
      <name val="Roboto"/>
      <color rgb="FFFFFFFF"/>
      <sz val="11"/>
    </font>
    <font>
      <name val="Roboto"/>
      <i val="1"/>
      <color rgb="FFFF0000"/>
      <sz val="9"/>
    </font>
    <font>
      <name val="Roboto"/>
      <color rgb="FFFF0000"/>
      <sz val="11"/>
    </font>
    <font>
      <name val="Roboto"/>
      <sz val="10"/>
    </font>
    <font>
      <name val="Roboto"/>
      <b val="1"/>
      <color rgb="001F497D"/>
      <sz val="14"/>
    </font>
    <font>
      <name val="Roboto"/>
      <i val="1"/>
      <color rgb="00595959"/>
      <sz val="10"/>
    </font>
    <font>
      <name val="Roboto"/>
      <b val="1"/>
      <color rgb="00FFFFFF"/>
      <sz val="10"/>
    </font>
    <font>
      <name val="Roboto"/>
      <sz val="9.5"/>
    </font>
    <font>
      <name val="Roboto"/>
      <b val="1"/>
      <color rgb="00C65911"/>
      <sz val="9.5"/>
    </font>
    <font>
      <name val="Roboto"/>
      <b val="1"/>
      <sz val="9.5"/>
    </font>
    <font>
      <name val="Roboto"/>
      <b val="1"/>
      <color rgb="00276A3C"/>
      <sz val="9.5"/>
    </font>
    <font>
      <name val="Roboto"/>
      <b val="1"/>
      <color rgb="00B25900"/>
      <sz val="9.5"/>
    </font>
    <font>
      <name val="Roboto"/>
      <b val="1"/>
      <color rgb="001F497D"/>
      <sz val="9.5"/>
    </font>
    <font>
      <name val="Roboto"/>
      <b val="1"/>
      <color rgb="001F497D"/>
      <sz val="10.5"/>
    </font>
    <font>
      <name val="Calibri"/>
      <family val="2"/>
      <color theme="1"/>
      <sz val="11"/>
      <scheme val="minor"/>
    </font>
  </fonts>
  <fills count="11">
    <fill>
      <patternFill/>
    </fill>
    <fill>
      <patternFill patternType="gray125"/>
    </fill>
    <fill>
      <patternFill patternType="solid">
        <fgColor rgb="FF963634"/>
        <bgColor rgb="FF963634"/>
      </patternFill>
    </fill>
    <fill>
      <patternFill patternType="solid">
        <fgColor rgb="FF38761D"/>
        <bgColor rgb="FF38761D"/>
      </patternFill>
    </fill>
    <fill>
      <patternFill patternType="solid">
        <fgColor rgb="001F497D"/>
        <bgColor rgb="001F497D"/>
      </patternFill>
    </fill>
    <fill>
      <patternFill patternType="solid">
        <fgColor rgb="002E75B6"/>
        <bgColor rgb="002E75B6"/>
      </patternFill>
    </fill>
    <fill>
      <patternFill patternType="solid">
        <fgColor rgb="00FCE4D6"/>
        <bgColor rgb="00FCE4D6"/>
      </patternFill>
    </fill>
    <fill>
      <patternFill patternType="solid">
        <fgColor rgb="00F9FAFB"/>
        <bgColor rgb="00F9FAFB"/>
      </patternFill>
    </fill>
    <fill>
      <patternFill patternType="solid">
        <fgColor rgb="00E2EFDA"/>
        <bgColor rgb="00E2EFDA"/>
      </patternFill>
    </fill>
    <fill>
      <patternFill patternType="solid">
        <fgColor rgb="00FFF2CC"/>
        <bgColor rgb="00FFF2CC"/>
      </patternFill>
    </fill>
    <fill>
      <patternFill patternType="solid">
        <fgColor rgb="00E9EEF4"/>
        <bgColor rgb="00E9EEF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40">
    <xf numFmtId="0" fontId="0" fillId="0" borderId="0" pivotButton="0" quotePrefix="0" xfId="0"/>
    <xf numFmtId="0" fontId="2" fillId="0" borderId="0" pivotButton="0" quotePrefix="0" xfId="0"/>
    <xf numFmtId="0" fontId="6" fillId="2" borderId="1" applyAlignment="1" pivotButton="0" quotePrefix="0" xfId="0">
      <alignment horizontal="center" vertical="center" wrapText="1"/>
    </xf>
    <xf numFmtId="0" fontId="6" fillId="0" borderId="0" applyAlignment="1" pivotButton="0" quotePrefix="0" xfId="0">
      <alignment horizontal="center" vertical="center" wrapText="1"/>
    </xf>
    <xf numFmtId="0" fontId="2" fillId="0" borderId="0" applyAlignment="1" pivotButton="0" quotePrefix="0" xfId="0">
      <alignment vertical="center" wrapText="1"/>
    </xf>
    <xf numFmtId="0" fontId="7"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pivotButton="0" quotePrefix="0" xfId="0"/>
    <xf numFmtId="0" fontId="6"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13" fillId="0" borderId="2" applyAlignment="1" pivotButton="0" quotePrefix="0" xfId="0">
      <alignment horizontal="center" vertical="center" wrapText="1"/>
    </xf>
    <xf numFmtId="0" fontId="13" fillId="0" borderId="2" applyAlignment="1" pivotButton="0" quotePrefix="0" xfId="0">
      <alignment horizontal="left" vertical="center" wrapText="1"/>
    </xf>
    <xf numFmtId="164" fontId="13" fillId="0" borderId="2" applyAlignment="1" pivotButton="0" quotePrefix="0" xfId="0">
      <alignment horizontal="center" vertical="center" wrapText="1"/>
    </xf>
    <xf numFmtId="0" fontId="5" fillId="0" borderId="0" pivotButton="0" quotePrefix="0" xfId="0"/>
    <xf numFmtId="0" fontId="0" fillId="0" borderId="0" pivotButton="0" quotePrefix="0" xfId="0"/>
    <xf numFmtId="0" fontId="3" fillId="0" borderId="0" pivotButton="0" quotePrefix="0" xfId="0"/>
    <xf numFmtId="0" fontId="1" fillId="0" borderId="0" pivotButton="0" quotePrefix="0" xfId="0"/>
    <xf numFmtId="0" fontId="4" fillId="0" borderId="0" applyAlignment="1" pivotButton="0" quotePrefix="0" xfId="0">
      <alignment horizontal="left"/>
    </xf>
    <xf numFmtId="0" fontId="8"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6" fillId="4" borderId="3" applyAlignment="1" pivotButton="0" quotePrefix="0" xfId="0">
      <alignment horizontal="center" vertical="center" wrapText="1"/>
    </xf>
    <xf numFmtId="0" fontId="16" fillId="5" borderId="3"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6" borderId="3" applyAlignment="1" pivotButton="0" quotePrefix="0" xfId="0">
      <alignment horizontal="center" vertical="center" wrapText="1"/>
    </xf>
    <xf numFmtId="0" fontId="19" fillId="0" borderId="3" applyAlignment="1" pivotButton="0" quotePrefix="0" xfId="0">
      <alignment horizontal="center" vertical="center" wrapText="1"/>
    </xf>
    <xf numFmtId="0" fontId="17" fillId="7" borderId="3" applyAlignment="1" pivotButton="0" quotePrefix="0" xfId="0">
      <alignment horizontal="center" vertical="center" wrapText="1"/>
    </xf>
    <xf numFmtId="0" fontId="17" fillId="7" borderId="3" applyAlignment="1" pivotButton="0" quotePrefix="0" xfId="0">
      <alignment horizontal="left" vertical="center" wrapText="1"/>
    </xf>
    <xf numFmtId="0" fontId="20" fillId="8" borderId="3" applyAlignment="1" pivotButton="0" quotePrefix="0" xfId="0">
      <alignment horizontal="center" vertical="center" wrapText="1"/>
    </xf>
    <xf numFmtId="0" fontId="21" fillId="9" borderId="3" applyAlignment="1" pivotButton="0" quotePrefix="0" xfId="0">
      <alignment horizontal="center" vertical="center" wrapText="1"/>
    </xf>
    <xf numFmtId="0" fontId="22" fillId="10" borderId="3" applyAlignment="1" pivotButton="0" quotePrefix="0" xfId="0">
      <alignment horizontal="center" vertical="center" wrapText="1"/>
    </xf>
    <xf numFmtId="0" fontId="23" fillId="0" borderId="0" pivotButton="0" quotePrefix="0" xfId="0"/>
    <xf numFmtId="0" fontId="19" fillId="7" borderId="3" applyAlignment="1" pivotButton="0" quotePrefix="0" xfId="0">
      <alignment horizontal="left" vertical="center" wrapText="1"/>
    </xf>
    <xf numFmtId="0" fontId="0" fillId="0" borderId="6"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Z218"/>
  <sheetViews>
    <sheetView tabSelected="1" topLeftCell="A66" workbookViewId="0">
      <selection activeCell="B60" sqref="B60:K60"/>
    </sheetView>
  </sheetViews>
  <sheetFormatPr baseColWidth="8" defaultColWidth="12.6640625" defaultRowHeight="15.75" customHeight="1"/>
  <cols>
    <col width="5.6640625" customWidth="1" style="16" min="1" max="1"/>
    <col width="30.77734375" customWidth="1" style="16" min="2" max="2"/>
    <col width="9.44140625" customWidth="1" style="16" min="3" max="3"/>
    <col width="19.5546875" customWidth="1" style="16" min="5" max="6"/>
    <col width="8.88671875" customWidth="1" style="16" min="7" max="7"/>
    <col width="41" customWidth="1" style="16" min="8" max="8"/>
    <col width="11.44140625" customWidth="1" style="16" min="9" max="9"/>
    <col width="94.77734375" customWidth="1" style="16" min="11" max="11"/>
    <col width="7" customWidth="1" style="16" min="12" max="12"/>
    <col width="24.21875" customWidth="1" style="16" min="13" max="13"/>
    <col width="25.21875" customWidth="1" style="16" min="14" max="14"/>
  </cols>
  <sheetData>
    <row r="1" ht="19.2" customHeight="1" s="16">
      <c r="A1" s="18" t="inlineStr">
        <is>
          <t>BÁO CÁO TỔNG QUAN &amp; BẢNG REVIEW ÁNH XẠ CHƯƠNG TRÌNH ĐÀO TẠO VỚI KHUNG NĂNG LỰC SỐ</t>
        </is>
      </c>
      <c r="I1" s="1" t="n"/>
      <c r="J1" s="1" t="n"/>
      <c r="K1" s="1" t="n"/>
      <c r="L1" s="1" t="n"/>
      <c r="M1" s="1" t="n"/>
      <c r="N1" s="1" t="n"/>
    </row>
    <row r="2" ht="14.4" customHeight="1" s="16">
      <c r="A2" s="17" t="inlineStr">
        <is>
          <t>Căn cứ: Thông tư 02/2025/TT-BGDĐT &amp; Khung trình độ quốc gia VQF (Cập nhật 2026)</t>
        </is>
      </c>
      <c r="H2" s="1" t="n"/>
      <c r="I2" s="1" t="n"/>
      <c r="J2" s="1" t="n"/>
      <c r="K2" s="1" t="n"/>
      <c r="L2" s="1" t="n"/>
      <c r="M2" s="1" t="n"/>
      <c r="N2" s="1" t="n"/>
    </row>
    <row r="3" ht="17.4" customHeight="1" s="16">
      <c r="A3" s="19" t="inlineStr">
        <is>
          <t>NGÀNH : CÔNG NGHỆ THÔNG TIN</t>
        </is>
      </c>
      <c r="I3" s="1" t="n"/>
      <c r="J3" s="1" t="n"/>
      <c r="K3" s="1" t="n"/>
      <c r="L3" s="1" t="n"/>
      <c r="M3" s="1" t="n"/>
      <c r="N3" s="1" t="n"/>
    </row>
    <row r="4" ht="14.4" customHeight="1" s="16">
      <c r="A4" s="1" t="n"/>
      <c r="B4" s="1" t="n"/>
      <c r="C4" s="1" t="n"/>
      <c r="D4" s="1" t="n"/>
      <c r="E4" s="1" t="n"/>
      <c r="F4" s="1" t="n"/>
      <c r="G4" s="1" t="n"/>
      <c r="H4" s="1" t="n"/>
      <c r="I4" s="1" t="n"/>
      <c r="J4" s="1" t="n"/>
      <c r="K4" s="1" t="n"/>
      <c r="L4" s="1" t="n"/>
      <c r="M4" s="1" t="n"/>
      <c r="N4" s="1" t="n"/>
    </row>
    <row r="5" ht="14.4" customHeight="1" s="16">
      <c r="A5" s="15" t="inlineStr">
        <is>
          <t>I. TỔNG QUAN MỨC ĐỘ PHỦ RỘNG CÁC MIỀN NĂNG LỰC SỐ TRONG CTĐT</t>
        </is>
      </c>
      <c r="H5" s="1" t="n"/>
      <c r="I5" s="1" t="n"/>
      <c r="J5" s="1" t="n"/>
      <c r="K5" s="1" t="n"/>
      <c r="L5" s="1" t="n"/>
      <c r="M5" s="1" t="n"/>
      <c r="N5" s="1" t="n"/>
    </row>
    <row r="6" ht="45" customHeight="1" s="16">
      <c r="A6" s="2" t="inlineStr">
        <is>
          <t>Mã Miền</t>
        </is>
      </c>
      <c r="B6" s="2" t="inlineStr">
        <is>
          <t>Tên Miền Năng Lực Số</t>
        </is>
      </c>
      <c r="C6" s="2" t="inlineStr">
        <is>
          <t>Số Lượng Môn Học Phủ</t>
        </is>
      </c>
      <c r="D6" s="2" t="inlineStr">
        <is>
          <t>Số Lượng CLO Ánh Xạ</t>
        </is>
      </c>
      <c r="E6" s="3" t="inlineStr">
        <is>
          <t>Mức Độ Kỳ Vọng</t>
        </is>
      </c>
      <c r="F6" s="3" t="inlineStr">
        <is>
          <t>Đánh Giá Trạng Thái Độ Phủ</t>
        </is>
      </c>
      <c r="G6" s="4" t="n"/>
      <c r="H6" s="4" t="n"/>
      <c r="I6" s="4" t="n"/>
      <c r="J6" s="4" t="n"/>
      <c r="K6" s="4" t="n"/>
      <c r="L6" s="4" t="n"/>
      <c r="M6" s="4" t="n"/>
      <c r="N6" s="4" t="n"/>
      <c r="O6" s="5" t="n"/>
      <c r="P6" s="5" t="n"/>
      <c r="Q6" s="5" t="n"/>
      <c r="R6" s="5" t="n"/>
      <c r="S6" s="5" t="n"/>
      <c r="T6" s="5" t="n"/>
      <c r="U6" s="5" t="n"/>
      <c r="V6" s="5" t="n"/>
      <c r="W6" s="5" t="n"/>
      <c r="X6" s="5" t="n"/>
      <c r="Y6" s="5" t="n"/>
      <c r="Z6" s="5" t="n"/>
    </row>
    <row r="7" ht="31.8" customHeight="1" s="16">
      <c r="A7" s="21" t="inlineStr">
        <is>
          <t>I</t>
        </is>
      </c>
      <c r="B7" s="22" t="inlineStr">
        <is>
          <t>Khai thác dữ liệu và thông tin</t>
        </is>
      </c>
      <c r="C7" s="10">
        <f>COUNTIF(F$18:F$184, "I")</f>
        <v/>
      </c>
      <c r="D7" s="10">
        <f>COUNTIFS(F$18:F$184, "I", J$18:J$184, "&lt;&gt;")</f>
        <v/>
      </c>
      <c r="E7" s="11" t="inlineStr">
        <is>
          <t>Mức 3 - Mức 4</t>
        </is>
      </c>
      <c r="F7" s="20" t="inlineStr">
        <is>
          <t>Đạt yêu cầu - Phủ rộng (CSDL, Khai phá dữ liệu, Phân tích dữ liệu)</t>
        </is>
      </c>
      <c r="I7" s="1" t="n"/>
      <c r="J7" s="1" t="n"/>
      <c r="K7" s="1" t="n"/>
      <c r="L7" s="1" t="n"/>
      <c r="M7" s="1" t="n"/>
      <c r="N7" s="1" t="n"/>
    </row>
    <row r="8" ht="31.8" customHeight="1" s="16">
      <c r="A8" s="21" t="inlineStr">
        <is>
          <t>II</t>
        </is>
      </c>
      <c r="B8" s="22" t="inlineStr">
        <is>
          <t>Giao tiếp và hợp tác trong môi trường số</t>
        </is>
      </c>
      <c r="C8" s="10">
        <f>COUNTIF(F$18:F$184, "II")</f>
        <v/>
      </c>
      <c r="D8" s="10">
        <f>COUNTIFS(F$18:F$184, "II", J$18:J$184, "&lt;&gt;")</f>
        <v/>
      </c>
      <c r="E8" s="11" t="inlineStr">
        <is>
          <t>Mức 3 - Mức 4</t>
        </is>
      </c>
      <c r="F8" s="20" t="inlineStr">
        <is>
          <t>Đạt yêu cầu - Phủ tốt qua kỹ năng làm việc nhóm, báo cáo kỹ thuật</t>
        </is>
      </c>
      <c r="I8" s="1" t="n"/>
      <c r="J8" s="1" t="n"/>
      <c r="K8" s="1" t="n"/>
      <c r="L8" s="1" t="n"/>
      <c r="M8" s="1" t="n"/>
      <c r="N8" s="1" t="n"/>
    </row>
    <row r="9" ht="31.8" customHeight="1" s="16">
      <c r="A9" s="21" t="inlineStr">
        <is>
          <t>III</t>
        </is>
      </c>
      <c r="B9" s="22" t="inlineStr">
        <is>
          <t>Sáng tạo nội dung số</t>
        </is>
      </c>
      <c r="C9" s="10">
        <f>COUNTIF(F$18:F$184, "III")</f>
        <v/>
      </c>
      <c r="D9" s="10">
        <f>COUNTIFS(F$18:F$184, "III", J$18:J$184, "&lt;&gt;")</f>
        <v/>
      </c>
      <c r="E9" s="11" t="inlineStr">
        <is>
          <t>Mức 4 - Mức 5</t>
        </is>
      </c>
      <c r="F9" s="20" t="inlineStr">
        <is>
          <t>Đạt yêu cầu - Phủ cốt lõi (Lập trình chuyên sâu, Web, UI/UX, Mã nguồn mở)</t>
        </is>
      </c>
      <c r="I9" s="1" t="n"/>
      <c r="J9" s="1" t="n"/>
      <c r="K9" s="1" t="n"/>
      <c r="L9" s="1" t="n"/>
      <c r="M9" s="1" t="n"/>
      <c r="N9" s="1" t="n"/>
    </row>
    <row r="10" ht="31.8" customHeight="1" s="16">
      <c r="A10" s="21" t="inlineStr">
        <is>
          <t>IV</t>
        </is>
      </c>
      <c r="B10" s="22" t="inlineStr">
        <is>
          <t>An toàn số</t>
        </is>
      </c>
      <c r="C10" s="10">
        <f>COUNTIF(F$18:F$184, "IV")</f>
        <v/>
      </c>
      <c r="D10" s="10">
        <f>COUNTIFS(F$18:F$184, "IV", J$18:J$184, "&lt;&gt;")</f>
        <v/>
      </c>
      <c r="E10" s="11" t="inlineStr">
        <is>
          <t>Mức 3 - Mức 4</t>
        </is>
      </c>
      <c r="F10" s="20" t="inlineStr">
        <is>
          <t>Đạt yêu cầu - Phủ hạ tầng mạng, bảo mật hệ thống, an toàn dữ liệu</t>
        </is>
      </c>
      <c r="I10" s="1" t="n"/>
      <c r="J10" s="1" t="n"/>
      <c r="K10" s="1" t="n"/>
      <c r="L10" s="1" t="n"/>
      <c r="M10" s="1" t="n"/>
      <c r="N10" s="1" t="n"/>
    </row>
    <row r="11" ht="31.8" customHeight="1" s="16">
      <c r="A11" s="21" t="inlineStr">
        <is>
          <t>V</t>
        </is>
      </c>
      <c r="B11" s="22" t="inlineStr">
        <is>
          <t>Giải quyết vấn đề bằng công nghệ số</t>
        </is>
      </c>
      <c r="C11" s="10">
        <f>COUNTIF(F$18:F$184, "V")</f>
        <v/>
      </c>
      <c r="D11" s="10">
        <f>COUNTIFS(F$18:F$184, "V", J$18:J$184, "&lt;&gt;")</f>
        <v/>
      </c>
      <c r="E11" s="11" t="inlineStr">
        <is>
          <t>Mức 4 - Mức 5</t>
        </is>
      </c>
      <c r="F11" s="20" t="inlineStr">
        <is>
          <t>Đạt yêu cầu - Phủ toàn diện quy trình kỹ thuật, giải pháp công nghệ &amp; dự án</t>
        </is>
      </c>
      <c r="I11" s="1" t="n"/>
      <c r="J11" s="1" t="n"/>
      <c r="K11" s="1" t="n"/>
      <c r="L11" s="1" t="n"/>
      <c r="M11" s="1" t="n"/>
      <c r="N11" s="1" t="n"/>
    </row>
    <row r="12" ht="31.8" customHeight="1" s="16">
      <c r="A12" s="21" t="inlineStr">
        <is>
          <t>VI</t>
        </is>
      </c>
      <c r="B12" s="22" t="inlineStr">
        <is>
          <t>Ứng dụng Trí tuệ nhân tạo (AI)</t>
        </is>
      </c>
      <c r="C12" s="10">
        <f>COUNTIF(F$18:F$184, "VI")</f>
        <v/>
      </c>
      <c r="D12" s="10">
        <f>COUNTIFS(F$18:F$184, "VI", J$18:J$184, "&lt;&gt;")</f>
        <v/>
      </c>
      <c r="E12" s="11" t="inlineStr">
        <is>
          <t>Mức 4 - Mức 5</t>
        </is>
      </c>
      <c r="F12" s="20" t="inlineStr">
        <is>
          <t>Đạt yêu cầu - Phủ tiên tiến các công nghệ AI, Machine Learning, Vibe Coding &amp; GenAI</t>
        </is>
      </c>
      <c r="I12" s="1" t="n"/>
      <c r="J12" s="1" t="n"/>
      <c r="K12" s="1" t="n"/>
      <c r="L12" s="1" t="n"/>
      <c r="M12" s="1" t="n"/>
      <c r="N12" s="1" t="n"/>
    </row>
    <row r="13" ht="14.4" customHeight="1" s="16">
      <c r="A13" s="1" t="n"/>
      <c r="B13" s="1" t="n"/>
      <c r="C13" s="1" t="n"/>
      <c r="D13" s="1" t="n"/>
      <c r="E13" s="1" t="n"/>
      <c r="F13" s="1" t="n"/>
      <c r="G13" s="1" t="n"/>
      <c r="H13" s="1" t="n"/>
      <c r="I13" s="1" t="n"/>
      <c r="J13" s="1" t="n"/>
      <c r="K13" s="1" t="n"/>
      <c r="L13" s="1" t="n"/>
      <c r="M13" s="1" t="n"/>
      <c r="N13" s="1" t="n"/>
    </row>
    <row r="14" ht="14.4" customHeight="1" s="16">
      <c r="A14" s="1" t="n"/>
      <c r="B14" s="1" t="n"/>
      <c r="C14" s="1" t="n"/>
      <c r="D14" s="1" t="n"/>
      <c r="E14" s="1" t="n"/>
      <c r="F14" s="1" t="n"/>
      <c r="G14" s="1" t="n"/>
      <c r="H14" s="1" t="n"/>
      <c r="I14" s="1" t="n"/>
      <c r="J14" s="1" t="n"/>
      <c r="K14" s="1" t="n"/>
      <c r="L14" s="1" t="n"/>
      <c r="M14" s="1" t="n"/>
      <c r="N14" s="1" t="n"/>
    </row>
    <row r="15" ht="14.4" customHeight="1" s="16">
      <c r="A15" s="15" t="inlineStr">
        <is>
          <t>II. BẢNG REVIEW VÀ ÁNH XẠ CHI TIẾT THEO TỪNG HỌC PHẦN (CLO)</t>
        </is>
      </c>
      <c r="E15" s="1" t="n"/>
      <c r="F15" s="1" t="n"/>
      <c r="G15" s="1" t="n"/>
      <c r="H15" s="1" t="n"/>
      <c r="I15" s="1" t="n"/>
      <c r="J15" s="1" t="n"/>
      <c r="K15" s="1" t="n"/>
      <c r="L15" s="1" t="n"/>
      <c r="M15" s="1" t="n"/>
      <c r="N15" s="1" t="n"/>
    </row>
    <row r="16" ht="14.4" customHeight="1" s="16">
      <c r="A16" s="6" t="n"/>
      <c r="B16" s="7" t="inlineStr">
        <is>
          <t>(Dữ liệu mẫu, thầy cô xóa đi để nhập mới nhé)</t>
        </is>
      </c>
      <c r="C16" s="6" t="n"/>
      <c r="D16" s="6" t="n"/>
      <c r="E16" s="6" t="n"/>
      <c r="F16" s="6" t="n"/>
      <c r="G16" s="6" t="n"/>
      <c r="H16" s="6" t="n"/>
      <c r="I16" s="6" t="n"/>
      <c r="J16" s="8" t="n"/>
      <c r="K16" s="6" t="n"/>
      <c r="L16" s="6" t="n"/>
      <c r="M16" s="6" t="n"/>
      <c r="N16" s="6" t="n"/>
    </row>
    <row r="17" ht="40.5" customHeight="1" s="16">
      <c r="A17" s="9" t="inlineStr">
        <is>
          <t>STT</t>
        </is>
      </c>
      <c r="B17" s="9" t="inlineStr">
        <is>
          <t>Tên Môn Học / Học Phần</t>
        </is>
      </c>
      <c r="C17" s="9" t="inlineStr">
        <is>
          <t>Mã Môn Học</t>
        </is>
      </c>
      <c r="D17" s="9" t="inlineStr">
        <is>
          <t>Số TC</t>
        </is>
      </c>
      <c r="E17" s="9" t="inlineStr">
        <is>
          <t>Khối Kiến Thức</t>
        </is>
      </c>
      <c r="F17" s="9" t="inlineStr">
        <is>
          <t>Mã Miền NLS</t>
        </is>
      </c>
      <c r="G17" s="9" t="inlineStr">
        <is>
          <t>Mã NLTP</t>
        </is>
      </c>
      <c r="H17" s="9" t="inlineStr">
        <is>
          <t>Tên Năng Lực Thành Phần (NLTP)</t>
        </is>
      </c>
      <c r="I17" s="9" t="inlineStr">
        <is>
          <t>Mức Độ NLS (Mức 1-6)</t>
        </is>
      </c>
      <c r="J17" s="9" t="inlineStr">
        <is>
          <t>CLO</t>
        </is>
      </c>
      <c r="K17" s="9" t="inlineStr">
        <is>
          <t xml:space="preserve">Nội Dung CLO </t>
        </is>
      </c>
      <c r="L17" s="9" t="inlineStr">
        <is>
          <t>PI</t>
        </is>
      </c>
      <c r="M17" s="9" t="inlineStr">
        <is>
          <t>Phương Pháp Đánh Giá</t>
        </is>
      </c>
      <c r="N17" s="9" t="inlineStr">
        <is>
          <t>Ghi Chú / Đề Xuất Cải Tiến</t>
        </is>
      </c>
      <c r="O17" s="5" t="n"/>
      <c r="P17" s="5" t="n"/>
      <c r="Q17" s="5" t="n"/>
      <c r="R17" s="5" t="n"/>
      <c r="S17" s="5" t="n"/>
      <c r="T17" s="5" t="n"/>
      <c r="U17" s="5" t="n"/>
      <c r="V17" s="5" t="n"/>
      <c r="W17" s="5" t="n"/>
      <c r="X17" s="5" t="n"/>
      <c r="Y17" s="5" t="n"/>
      <c r="Z17" s="5" t="n"/>
    </row>
    <row r="18" ht="52.8" customHeight="1" s="16">
      <c r="A18" s="12" t="n">
        <v>1</v>
      </c>
      <c r="B18" s="13" t="inlineStr">
        <is>
          <t>Tin học đại cương</t>
        </is>
      </c>
      <c r="C18" s="12" t="inlineStr">
        <is>
          <t>102112</t>
        </is>
      </c>
      <c r="D18" s="12" t="n">
        <v>3</v>
      </c>
      <c r="E18" s="13" t="inlineStr">
        <is>
          <t>Đại cương</t>
        </is>
      </c>
      <c r="F18" s="12" t="inlineStr">
        <is>
          <t>III</t>
        </is>
      </c>
      <c r="G18" s="14" t="inlineStr">
        <is>
          <t>3.1</t>
        </is>
      </c>
      <c r="H18" s="13" t="inlineStr">
        <is>
          <t>Phát triển nội dung số</t>
        </is>
      </c>
      <c r="I18" s="12" t="inlineStr">
        <is>
          <t>Mức 3</t>
        </is>
      </c>
      <c r="J18" s="12" t="inlineStr">
        <is>
          <t>CLO1</t>
        </is>
      </c>
      <c r="K18" s="13" t="inlineStr">
        <is>
          <t>Sử dụng thành thạo các ứng dụng văn phòng số (soạn thảo văn bản, xử lý bảng tính, trình chiếu số) theo chuẩn kỹ năng CNTT.</t>
        </is>
      </c>
      <c r="L18" s="14" t="inlineStr">
        <is>
          <t>PI 3.4</t>
        </is>
      </c>
      <c r="M18" s="13" t="inlineStr">
        <is>
          <t>Thực hành trên máy / Báo cáo</t>
        </is>
      </c>
      <c r="N18" s="13" t="inlineStr">
        <is>
          <t>Rèn luyện tư duy lập trình tối ưu, chuẩn Clean Code và tuân thủ bản quyền phần mềm.</t>
        </is>
      </c>
    </row>
    <row r="19" ht="52.8" customHeight="1" s="16">
      <c r="A19" s="12" t="n">
        <v>1</v>
      </c>
      <c r="B19" s="13" t="inlineStr">
        <is>
          <t>Tin học đại cương</t>
        </is>
      </c>
      <c r="C19" s="12" t="inlineStr">
        <is>
          <t>102112</t>
        </is>
      </c>
      <c r="D19" s="12" t="n">
        <v>3</v>
      </c>
      <c r="E19" s="13" t="inlineStr">
        <is>
          <t>Đại cương</t>
        </is>
      </c>
      <c r="F19" s="12" t="inlineStr">
        <is>
          <t>I</t>
        </is>
      </c>
      <c r="G19" s="14" t="inlineStr">
        <is>
          <t>1.1</t>
        </is>
      </c>
      <c r="H19" s="13" t="inlineStr">
        <is>
          <t>Duyệt, tìm kiếm và lọc dữ liệu, thông tin và nội dung số</t>
        </is>
      </c>
      <c r="I19" s="12" t="inlineStr">
        <is>
          <t>Mức 2</t>
        </is>
      </c>
      <c r="J19" s="12" t="inlineStr">
        <is>
          <t>CLO2</t>
        </is>
      </c>
      <c r="K19" s="13" t="inlineStr">
        <is>
          <t>Áp dụng kỹ thuật tìm kiếm, khai thác và đánh giá nguồn thông tin trên Internet phục vụ học tập.</t>
        </is>
      </c>
      <c r="L19" s="14" t="inlineStr">
        <is>
          <t>PI 3.3</t>
        </is>
      </c>
      <c r="M19" s="13" t="inlineStr">
        <is>
          <t>Trắc nghiệm / Thực hành</t>
        </is>
      </c>
      <c r="N19" s="13" t="inlineStr">
        <is>
          <t>Ứng dụng các kỹ thuật phân tích và truy xuất dữ liệu lớn phục vụ học tập và nghiên cứu.</t>
        </is>
      </c>
    </row>
    <row r="20" ht="52.8" customHeight="1" s="16">
      <c r="A20" s="12" t="n">
        <v>1</v>
      </c>
      <c r="B20" s="13" t="inlineStr">
        <is>
          <t>Tin học đại cương</t>
        </is>
      </c>
      <c r="C20" s="12" t="inlineStr">
        <is>
          <t>102112</t>
        </is>
      </c>
      <c r="D20" s="12" t="n">
        <v>3</v>
      </c>
      <c r="E20" s="13" t="inlineStr">
        <is>
          <t>Đại cương</t>
        </is>
      </c>
      <c r="F20" s="12" t="inlineStr">
        <is>
          <t>IV</t>
        </is>
      </c>
      <c r="G20" s="14" t="inlineStr">
        <is>
          <t>4.2</t>
        </is>
      </c>
      <c r="H20" s="13" t="inlineStr">
        <is>
          <t>Bảo vệ dữ liệu cá nhân và quyền riêng tư</t>
        </is>
      </c>
      <c r="I20" s="12" t="inlineStr">
        <is>
          <t>Mức 2</t>
        </is>
      </c>
      <c r="J20" s="12" t="inlineStr">
        <is>
          <t>CLO3</t>
        </is>
      </c>
      <c r="K20" s="13" t="inlineStr">
        <is>
          <t>Nhận biết các mối đe dọa an toàn số cơ bản và thực hiện các biện pháp bảo vệ dữ liệu cá nhân, tài khoản số.</t>
        </is>
      </c>
      <c r="L20" s="14" t="inlineStr">
        <is>
          <t>PI 2.1</t>
        </is>
      </c>
      <c r="M20" s="13" t="inlineStr">
        <is>
          <t>Trắc nghiệm</t>
        </is>
      </c>
      <c r="N20" s="13" t="inlineStr">
        <is>
          <t>Tăng cường nhận thức bảo mật, cấu hình an toàn hệ thống và bảo vệ dữ liệu người dùng.</t>
        </is>
      </c>
    </row>
    <row r="21" ht="52.8" customHeight="1" s="16">
      <c r="A21" s="12" t="n">
        <v>2</v>
      </c>
      <c r="B21" s="13" t="inlineStr">
        <is>
          <t>Nhập môn lập trình</t>
        </is>
      </c>
      <c r="C21" s="12" t="inlineStr">
        <is>
          <t>111155</t>
        </is>
      </c>
      <c r="D21" s="12" t="n">
        <v>3</v>
      </c>
      <c r="E21" s="13" t="inlineStr">
        <is>
          <t>Cơ sở ngành</t>
        </is>
      </c>
      <c r="F21" s="12" t="inlineStr">
        <is>
          <t>III</t>
        </is>
      </c>
      <c r="G21" s="14" t="inlineStr">
        <is>
          <t>3.4</t>
        </is>
      </c>
      <c r="H21" s="13" t="inlineStr">
        <is>
          <t>Lập trình</t>
        </is>
      </c>
      <c r="I21" s="12" t="inlineStr">
        <is>
          <t>Mức 3</t>
        </is>
      </c>
      <c r="J21" s="12" t="inlineStr">
        <is>
          <t>CLO1</t>
        </is>
      </c>
      <c r="K21" s="13" t="inlineStr">
        <is>
          <t>Áp dụng ngôn ngữ lập trình để hiện thực các thuật toán đề ra ở mức cơ bản</t>
        </is>
      </c>
      <c r="L21" s="14" t="inlineStr">
        <is>
          <t>PI 1.3</t>
        </is>
      </c>
      <c r="M21" s="13" t="inlineStr">
        <is>
          <t>report (Rubric)</t>
        </is>
      </c>
      <c r="N21" s="13" t="inlineStr">
        <is>
          <t>Rèn luyện tư duy lập trình tối ưu, chuẩn Clean Code và tuân thủ bản quyền phần mềm.</t>
        </is>
      </c>
    </row>
    <row r="22" ht="52.8" customHeight="1" s="16">
      <c r="A22" s="12" t="n">
        <v>2</v>
      </c>
      <c r="B22" s="13" t="inlineStr">
        <is>
          <t>Nhập môn lập trình</t>
        </is>
      </c>
      <c r="C22" s="12" t="inlineStr">
        <is>
          <t>111155</t>
        </is>
      </c>
      <c r="D22" s="12" t="n">
        <v>3</v>
      </c>
      <c r="E22" s="13" t="inlineStr">
        <is>
          <t>Cơ sở ngành</t>
        </is>
      </c>
      <c r="F22" s="12" t="inlineStr">
        <is>
          <t>III</t>
        </is>
      </c>
      <c r="G22" s="14" t="inlineStr">
        <is>
          <t>3.1</t>
        </is>
      </c>
      <c r="H22" s="13" t="inlineStr">
        <is>
          <t>Phát triển nội dung số</t>
        </is>
      </c>
      <c r="I22" s="12" t="inlineStr">
        <is>
          <t>Mức 3</t>
        </is>
      </c>
      <c r="J22" s="12" t="inlineStr">
        <is>
          <t>CLO2</t>
        </is>
      </c>
      <c r="K22" s="13" t="inlineStr">
        <is>
          <t>Sử dụng được các công cụ đồ họa để trình bày các ý tưởng thiết kế dữ liệu</t>
        </is>
      </c>
      <c r="L22" s="14" t="inlineStr">
        <is>
          <t>PI 3.4</t>
        </is>
      </c>
      <c r="M22" s="13" t="inlineStr">
        <is>
          <t>report (Rubric)</t>
        </is>
      </c>
      <c r="N22" s="13" t="inlineStr">
        <is>
          <t>Rèn luyện tư duy lập trình tối ưu, chuẩn Clean Code và tuân thủ bản quyền phần mềm.</t>
        </is>
      </c>
    </row>
    <row r="23" ht="39.6" customHeight="1" s="16">
      <c r="A23" s="12" t="n">
        <v>2</v>
      </c>
      <c r="B23" s="13" t="inlineStr">
        <is>
          <t>Nhập môn lập trình</t>
        </is>
      </c>
      <c r="C23" s="12" t="inlineStr">
        <is>
          <t>111155</t>
        </is>
      </c>
      <c r="D23" s="12" t="n">
        <v>3</v>
      </c>
      <c r="E23" s="13" t="inlineStr">
        <is>
          <t>Cơ sở ngành</t>
        </is>
      </c>
      <c r="F23" s="12" t="inlineStr">
        <is>
          <t>II</t>
        </is>
      </c>
      <c r="G23" s="14" t="inlineStr">
        <is>
          <t>2.4</t>
        </is>
      </c>
      <c r="H23" s="13" t="inlineStr">
        <is>
          <t>Hợp tác thông qua công nghệ số</t>
        </is>
      </c>
      <c r="I23" s="12" t="inlineStr">
        <is>
          <t>Mức 4</t>
        </is>
      </c>
      <c r="J23" s="12" t="inlineStr">
        <is>
          <t>CLO3</t>
        </is>
      </c>
      <c r="K23" s="13" t="inlineStr">
        <is>
          <t>Thể hiện được vai trò cá nhân trong nhóm một cách rõ ràng</t>
        </is>
      </c>
      <c r="L23" s="14" t="inlineStr">
        <is>
          <t>PI 5.2</t>
        </is>
      </c>
      <c r="M23" s="13" t="inlineStr">
        <is>
          <t>report (Rubric)</t>
        </is>
      </c>
      <c r="N23" s="13" t="inlineStr">
        <is>
          <t>Đẩy mạnh sử dụng nền tảng số (GitHub, Jira) để hợp tác và quản lý dự án nhóm.</t>
        </is>
      </c>
    </row>
    <row r="24" ht="52.8" customHeight="1" s="16">
      <c r="A24" s="12" t="n">
        <v>3</v>
      </c>
      <c r="B24" s="13" t="inlineStr">
        <is>
          <t>Lắp ráp và tối ưu hệ thống máy tính</t>
        </is>
      </c>
      <c r="C24" s="12" t="inlineStr">
        <is>
          <t>111156</t>
        </is>
      </c>
      <c r="D24" s="12" t="n">
        <v>3</v>
      </c>
      <c r="E24" s="13" t="inlineStr">
        <is>
          <t>Cơ sở ngành</t>
        </is>
      </c>
      <c r="F24" s="12" t="inlineStr">
        <is>
          <t>IV</t>
        </is>
      </c>
      <c r="G24" s="14" t="inlineStr">
        <is>
          <t>4.1</t>
        </is>
      </c>
      <c r="H24" s="13" t="inlineStr">
        <is>
          <t>Bảo vệ thiết bị</t>
        </is>
      </c>
      <c r="I24" s="12" t="inlineStr">
        <is>
          <t>Mức 4</t>
        </is>
      </c>
      <c r="J24" s="12" t="inlineStr">
        <is>
          <t>CLO1</t>
        </is>
      </c>
      <c r="K24" s="13" t="inlineStr">
        <is>
          <t>Cài đặt được máy tính dựa trên các yêu cầu chức năng đã được xác định</t>
        </is>
      </c>
      <c r="L24" s="14" t="inlineStr">
        <is>
          <t>PI 2.2</t>
        </is>
      </c>
      <c r="M24" s="13" t="inlineStr">
        <is>
          <t>thi thực hành (Checklist)</t>
        </is>
      </c>
      <c r="N24" s="13" t="inlineStr">
        <is>
          <t>Tăng cường nhận thức bảo mật, cấu hình an toàn hệ thống và bảo vệ dữ liệu người dùng.</t>
        </is>
      </c>
    </row>
    <row r="25" ht="52.8" customHeight="1" s="16">
      <c r="A25" s="12" t="n">
        <v>3</v>
      </c>
      <c r="B25" s="13" t="inlineStr">
        <is>
          <t>Lắp ráp và tối ưu hệ thống máy tính</t>
        </is>
      </c>
      <c r="C25" s="12" t="inlineStr">
        <is>
          <t>111156</t>
        </is>
      </c>
      <c r="D25" s="12" t="n">
        <v>3</v>
      </c>
      <c r="E25" s="13" t="inlineStr">
        <is>
          <t>Cơ sở ngành</t>
        </is>
      </c>
      <c r="F25" s="12" t="inlineStr">
        <is>
          <t>I</t>
        </is>
      </c>
      <c r="G25" s="14" t="inlineStr">
        <is>
          <t>1.1</t>
        </is>
      </c>
      <c r="H25" s="13" t="inlineStr">
        <is>
          <t>Duyệt, tìm kiếm và lọc dữ liệu, thông tin và nội dung số</t>
        </is>
      </c>
      <c r="I25" s="12" t="inlineStr">
        <is>
          <t>Mức 3</t>
        </is>
      </c>
      <c r="J25" s="12" t="inlineStr">
        <is>
          <t>CLO2</t>
        </is>
      </c>
      <c r="K25" s="13" t="inlineStr">
        <is>
          <t>Biết cách tìm kiếm và chọn lựa tài liệu sử dụng phù hợp để giải quyết các vấn đề đặt ra</t>
        </is>
      </c>
      <c r="L25" s="14" t="inlineStr">
        <is>
          <t>PI 3.3</t>
        </is>
      </c>
      <c r="M25" s="13" t="inlineStr">
        <is>
          <t>Báo cáo (Rubric)</t>
        </is>
      </c>
      <c r="N25" s="13" t="inlineStr">
        <is>
          <t>Ứng dụng các kỹ thuật phân tích và truy xuất dữ liệu lớn phục vụ học tập và nghiên cứu.</t>
        </is>
      </c>
    </row>
    <row r="26" ht="39.6" customHeight="1" s="16">
      <c r="A26" s="12" t="n">
        <v>3</v>
      </c>
      <c r="B26" s="13" t="inlineStr">
        <is>
          <t>Lắp ráp và tối ưu hệ thống máy tính</t>
        </is>
      </c>
      <c r="C26" s="12" t="inlineStr">
        <is>
          <t>111156</t>
        </is>
      </c>
      <c r="D26" s="12" t="n">
        <v>3</v>
      </c>
      <c r="E26" s="13" t="inlineStr">
        <is>
          <t>Cơ sở ngành</t>
        </is>
      </c>
      <c r="F26" s="12" t="inlineStr">
        <is>
          <t>II</t>
        </is>
      </c>
      <c r="G26" s="14" t="inlineStr">
        <is>
          <t>2.4</t>
        </is>
      </c>
      <c r="H26" s="13" t="inlineStr">
        <is>
          <t>Hợp tác thông qua công nghệ số</t>
        </is>
      </c>
      <c r="I26" s="12" t="inlineStr">
        <is>
          <t>Mức 3</t>
        </is>
      </c>
      <c r="J26" s="12" t="inlineStr">
        <is>
          <t>CLO3</t>
        </is>
      </c>
      <c r="K26" s="13" t="inlineStr">
        <is>
          <t>Sử dụng kỹ năng trong việc sắp xếp công việc cá nhân hoặc nhóm phù hợp với mục tiêu công việc đề ra</t>
        </is>
      </c>
      <c r="L26" s="14" t="inlineStr">
        <is>
          <t>PI 5.1</t>
        </is>
      </c>
      <c r="M26" s="13" t="inlineStr">
        <is>
          <t>Báo cáo (Rubric)</t>
        </is>
      </c>
      <c r="N26" s="13" t="inlineStr">
        <is>
          <t>Đẩy mạnh sử dụng nền tảng số (GitHub, Jira) để hợp tác và quản lý dự án nhóm.</t>
        </is>
      </c>
    </row>
    <row r="27" ht="39.6" customHeight="1" s="16">
      <c r="A27" s="12" t="n">
        <v>4</v>
      </c>
      <c r="B27" s="13" t="inlineStr">
        <is>
          <t>Phần mềm mã nguồn mở</t>
        </is>
      </c>
      <c r="C27" s="12" t="inlineStr">
        <is>
          <t>111157</t>
        </is>
      </c>
      <c r="D27" s="12" t="n">
        <v>3</v>
      </c>
      <c r="E27" s="13" t="inlineStr">
        <is>
          <t>Cơ sở ngành</t>
        </is>
      </c>
      <c r="F27" s="12" t="inlineStr">
        <is>
          <t>II</t>
        </is>
      </c>
      <c r="G27" s="14" t="inlineStr">
        <is>
          <t>2.1</t>
        </is>
      </c>
      <c r="H27" s="13" t="inlineStr">
        <is>
          <t>Tương tác thông qua công nghệ số</t>
        </is>
      </c>
      <c r="I27" s="12" t="inlineStr">
        <is>
          <t>Mức 4</t>
        </is>
      </c>
      <c r="J27" s="12" t="inlineStr">
        <is>
          <t>CLO3</t>
        </is>
      </c>
      <c r="K27" s="13" t="inlineStr">
        <is>
          <t>Viết báo cáo trình bày nội dung các công việc đã thực hiện bằng văn bản một cách hợp lý và đúng quy định về định đạng</t>
        </is>
      </c>
      <c r="L27" s="14" t="inlineStr">
        <is>
          <t>PI 3.1</t>
        </is>
      </c>
      <c r="M27" s="13" t="inlineStr">
        <is>
          <t>Báo cáo / Thực hành</t>
        </is>
      </c>
      <c r="N27" s="13" t="inlineStr">
        <is>
          <t>Đẩy mạnh sử dụng nền tảng số (GitHub, Jira) để hợp tác và quản lý dự án nhóm.</t>
        </is>
      </c>
    </row>
    <row r="28" ht="39.6" customHeight="1" s="16">
      <c r="A28" s="12" t="n">
        <v>4</v>
      </c>
      <c r="B28" s="13" t="inlineStr">
        <is>
          <t>Phần mềm mã nguồn mở</t>
        </is>
      </c>
      <c r="C28" s="12" t="inlineStr">
        <is>
          <t>111157</t>
        </is>
      </c>
      <c r="D28" s="12" t="n">
        <v>3</v>
      </c>
      <c r="E28" s="13" t="inlineStr">
        <is>
          <t>Cơ sở ngành</t>
        </is>
      </c>
      <c r="F28" s="12" t="inlineStr">
        <is>
          <t>II</t>
        </is>
      </c>
      <c r="G28" s="12" t="inlineStr">
        <is>
          <t>2.4</t>
        </is>
      </c>
      <c r="H28" s="13" t="inlineStr">
        <is>
          <t>Hợp tác thông qua công nghệ số</t>
        </is>
      </c>
      <c r="I28" s="12" t="inlineStr">
        <is>
          <t>Mức 4</t>
        </is>
      </c>
      <c r="J28" s="12" t="inlineStr">
        <is>
          <t>CLO4</t>
        </is>
      </c>
      <c r="K28" s="13" t="inlineStr">
        <is>
          <t>Thể hiện được vai trò cá nhân trong nhóm một cách rõ ràng</t>
        </is>
      </c>
      <c r="L28" s="12" t="inlineStr">
        <is>
          <t>PI 5.2</t>
        </is>
      </c>
      <c r="M28" s="13" t="inlineStr">
        <is>
          <t>Báo cáo / Thực hành</t>
        </is>
      </c>
      <c r="N28" s="13" t="inlineStr">
        <is>
          <t>Đẩy mạnh sử dụng nền tảng số (GitHub, Jira) để hợp tác và quản lý dự án nhóm.</t>
        </is>
      </c>
    </row>
    <row r="29" ht="52.8" customHeight="1" s="16">
      <c r="A29" s="12" t="n">
        <v>4</v>
      </c>
      <c r="B29" s="13" t="inlineStr">
        <is>
          <t>Phần mềm mã nguồn mở</t>
        </is>
      </c>
      <c r="C29" s="12" t="inlineStr">
        <is>
          <t>111157</t>
        </is>
      </c>
      <c r="D29" s="12" t="n">
        <v>3</v>
      </c>
      <c r="E29" s="13" t="inlineStr">
        <is>
          <t>Cơ sở ngành</t>
        </is>
      </c>
      <c r="F29" s="12" t="inlineStr">
        <is>
          <t>III</t>
        </is>
      </c>
      <c r="G29" s="12" t="inlineStr">
        <is>
          <t>3.1</t>
        </is>
      </c>
      <c r="H29" s="13" t="inlineStr">
        <is>
          <t>Phát triển nội dung số</t>
        </is>
      </c>
      <c r="I29" s="12" t="inlineStr">
        <is>
          <t>Mức 4</t>
        </is>
      </c>
      <c r="J29" s="12" t="inlineStr">
        <is>
          <t>CLO1</t>
        </is>
      </c>
      <c r="K29" s="13" t="inlineStr">
        <is>
          <t>Mô hình hóa ý tưởng và chức năng website bằng các công cụ hiện đại</t>
        </is>
      </c>
      <c r="L29" s="12" t="inlineStr">
        <is>
          <t>PI 1.4</t>
        </is>
      </c>
      <c r="M29" s="13" t="inlineStr">
        <is>
          <t>Report (Check list)</t>
        </is>
      </c>
      <c r="N29" s="13" t="inlineStr">
        <is>
          <t>Rèn luyện tư duy lập trình tối ưu, chuẩn Clean Code và tuân thủ bản quyền phần mềm.</t>
        </is>
      </c>
    </row>
    <row r="30" ht="52.8" customHeight="1" s="16">
      <c r="A30" s="12" t="n">
        <v>4</v>
      </c>
      <c r="B30" s="13" t="inlineStr">
        <is>
          <t>Phần mềm mã nguồn mở</t>
        </is>
      </c>
      <c r="C30" s="12" t="inlineStr">
        <is>
          <t>111157</t>
        </is>
      </c>
      <c r="D30" s="12" t="n">
        <v>3</v>
      </c>
      <c r="E30" s="13" t="inlineStr">
        <is>
          <t>Cơ sở ngành</t>
        </is>
      </c>
      <c r="F30" s="12" t="inlineStr">
        <is>
          <t>III</t>
        </is>
      </c>
      <c r="G30" s="12" t="inlineStr">
        <is>
          <t>3.1</t>
        </is>
      </c>
      <c r="H30" s="13" t="inlineStr">
        <is>
          <t>Phát triển nội dung số</t>
        </is>
      </c>
      <c r="I30" s="12" t="inlineStr">
        <is>
          <t>Mức 4</t>
        </is>
      </c>
      <c r="J30" s="12" t="inlineStr">
        <is>
          <t>CLO2</t>
        </is>
      </c>
      <c r="K30" s="13" t="inlineStr">
        <is>
          <t>Xây dựng giao diện website đáp ứng các yêu cầu của chủ đề đã chọn</t>
        </is>
      </c>
      <c r="L30" s="12" t="inlineStr">
        <is>
          <t>PI 2.3</t>
        </is>
      </c>
      <c r="M30" s="13" t="inlineStr">
        <is>
          <t>report (Check list)</t>
        </is>
      </c>
      <c r="N30" s="13" t="inlineStr">
        <is>
          <t>Rèn luyện tư duy lập trình tối ưu, chuẩn Clean Code và tuân thủ bản quyền phần mềm.</t>
        </is>
      </c>
    </row>
    <row r="31" ht="52.8" customHeight="1" s="16">
      <c r="A31" s="12" t="n">
        <v>5</v>
      </c>
      <c r="B31" s="13" t="inlineStr">
        <is>
          <t>Nhập môn ngành</t>
        </is>
      </c>
      <c r="C31" s="12" t="inlineStr">
        <is>
          <t>111154</t>
        </is>
      </c>
      <c r="D31" s="12" t="n">
        <v>3</v>
      </c>
      <c r="E31" s="13" t="inlineStr">
        <is>
          <t>Cơ sở ngành</t>
        </is>
      </c>
      <c r="F31" s="12" t="inlineStr">
        <is>
          <t>V</t>
        </is>
      </c>
      <c r="G31" s="12" t="inlineStr">
        <is>
          <t>5.2</t>
        </is>
      </c>
      <c r="H31" s="13" t="inlineStr">
        <is>
          <t>Xác định nhu cầu và giải pháp công nghệ</t>
        </is>
      </c>
      <c r="I31" s="12" t="inlineStr">
        <is>
          <t>Mức 3</t>
        </is>
      </c>
      <c r="J31" s="12" t="inlineStr">
        <is>
          <t>CLO1</t>
        </is>
      </c>
      <c r="K31" s="13" t="inlineStr">
        <is>
          <t>Thu thập được thông tin về ngành nghề đang học và các kỹ năng cần có khi học đại học</t>
        </is>
      </c>
      <c r="L31" s="12" t="inlineStr">
        <is>
          <t>PI 2.1</t>
        </is>
      </c>
      <c r="M31" s="13" t="inlineStr">
        <is>
          <t>report</t>
        </is>
      </c>
      <c r="N31" s="13" t="inlineStr">
        <is>
          <t>Áp dụng phương pháp luận kỹ thuật hiện đại (Agile, CDIO) giải quyết bài toán thực tiễn.</t>
        </is>
      </c>
    </row>
    <row r="32" ht="39.6" customHeight="1" s="16">
      <c r="A32" s="12" t="n">
        <v>5</v>
      </c>
      <c r="B32" s="13" t="inlineStr">
        <is>
          <t>Nhập môn ngành</t>
        </is>
      </c>
      <c r="C32" s="12" t="inlineStr">
        <is>
          <t>111154</t>
        </is>
      </c>
      <c r="D32" s="12" t="n">
        <v>3</v>
      </c>
      <c r="E32" s="13" t="inlineStr">
        <is>
          <t>Cơ sở ngành</t>
        </is>
      </c>
      <c r="F32" s="12" t="inlineStr">
        <is>
          <t>II</t>
        </is>
      </c>
      <c r="G32" s="12" t="inlineStr">
        <is>
          <t>2.2</t>
        </is>
      </c>
      <c r="H32" s="13" t="inlineStr">
        <is>
          <t>Chia sẻ thông tin và nội dung thông qua công nghệ số</t>
        </is>
      </c>
      <c r="I32" s="12" t="inlineStr">
        <is>
          <t>Mức 4</t>
        </is>
      </c>
      <c r="J32" s="12" t="inlineStr">
        <is>
          <t>CLO2</t>
        </is>
      </c>
      <c r="K32" s="13" t="inlineStr">
        <is>
          <t>Viết báo cáo trình bày nội dung các công việc đã thực hiện bằng văn bản một cách hợp lý và đúng quy định về định đạng</t>
        </is>
      </c>
      <c r="L32" s="12" t="inlineStr">
        <is>
          <t>PI 3.1</t>
        </is>
      </c>
      <c r="M32" s="13" t="inlineStr">
        <is>
          <t>report</t>
        </is>
      </c>
      <c r="N32" s="13" t="inlineStr">
        <is>
          <t>Đẩy mạnh sử dụng nền tảng số (GitHub, Jira) để hợp tác và quản lý dự án nhóm.</t>
        </is>
      </c>
    </row>
    <row r="33" ht="39.6" customHeight="1" s="16">
      <c r="A33" s="12" t="n">
        <v>5</v>
      </c>
      <c r="B33" s="13" t="inlineStr">
        <is>
          <t>Nhập môn ngành</t>
        </is>
      </c>
      <c r="C33" s="12" t="inlineStr">
        <is>
          <t>111154</t>
        </is>
      </c>
      <c r="D33" s="12" t="n">
        <v>3</v>
      </c>
      <c r="E33" s="13" t="inlineStr">
        <is>
          <t>Cơ sở ngành</t>
        </is>
      </c>
      <c r="F33" s="12" t="inlineStr">
        <is>
          <t>II</t>
        </is>
      </c>
      <c r="G33" s="12" t="inlineStr">
        <is>
          <t>2.4</t>
        </is>
      </c>
      <c r="H33" s="13" t="inlineStr">
        <is>
          <t>Hợp tác thông qua công nghệ số</t>
        </is>
      </c>
      <c r="I33" s="12" t="inlineStr">
        <is>
          <t>Mức 3</t>
        </is>
      </c>
      <c r="J33" s="12" t="inlineStr">
        <is>
          <t>CLO3</t>
        </is>
      </c>
      <c r="K33" s="13" t="inlineStr">
        <is>
          <t>Sử dụng kỹ năng trong việc sắp xếp công việc cá nhân hoặc nhóm phù hợp với mục tiêu công việc đề ra</t>
        </is>
      </c>
      <c r="L33" s="12" t="inlineStr">
        <is>
          <t>PI 5.1</t>
        </is>
      </c>
      <c r="M33" s="13" t="inlineStr">
        <is>
          <t>report</t>
        </is>
      </c>
      <c r="N33" s="13" t="inlineStr">
        <is>
          <t>Đẩy mạnh sử dụng nền tảng số (GitHub, Jira) để hợp tác và quản lý dự án nhóm.</t>
        </is>
      </c>
    </row>
    <row r="34" ht="52.8" customHeight="1" s="16">
      <c r="A34" s="12" t="n">
        <v>6</v>
      </c>
      <c r="B34" s="13" t="inlineStr">
        <is>
          <t>Nhập môn Phát triển dự án kỹ thuật</t>
        </is>
      </c>
      <c r="C34" s="12" t="inlineStr">
        <is>
          <t>111168</t>
        </is>
      </c>
      <c r="D34" s="12" t="n">
        <v>3</v>
      </c>
      <c r="E34" s="13" t="inlineStr">
        <is>
          <t>Cơ sở ngành</t>
        </is>
      </c>
      <c r="F34" s="12" t="inlineStr">
        <is>
          <t>V</t>
        </is>
      </c>
      <c r="G34" s="12" t="inlineStr">
        <is>
          <t>5.2</t>
        </is>
      </c>
      <c r="H34" s="13" t="inlineStr">
        <is>
          <t>Xác định nhu cầu và giải pháp công nghệ</t>
        </is>
      </c>
      <c r="I34" s="12" t="inlineStr">
        <is>
          <t>Mức 3</t>
        </is>
      </c>
      <c r="J34" s="12" t="inlineStr">
        <is>
          <t>CLO1</t>
        </is>
      </c>
      <c r="K34" s="13" t="inlineStr">
        <is>
          <t>Thu thập thông tin (platform, yêu cầu của người dùng, cấu trúc dữ liệu) để xác định các yêu cầu chức năng của hệ thống</t>
        </is>
      </c>
      <c r="L34" s="12" t="inlineStr">
        <is>
          <t>PI 2.1</t>
        </is>
      </c>
      <c r="M34" s="13" t="inlineStr">
        <is>
          <t>Báo cáo (Checklist)</t>
        </is>
      </c>
      <c r="N34" s="13" t="inlineStr">
        <is>
          <t>Áp dụng phương pháp luận kỹ thuật hiện đại (Agile, CDIO) giải quyết bài toán thực tiễn.</t>
        </is>
      </c>
    </row>
    <row r="35" ht="39.6" customHeight="1" s="16">
      <c r="A35" s="12" t="n">
        <v>6</v>
      </c>
      <c r="B35" s="13" t="inlineStr">
        <is>
          <t>Nhập môn Phát triển dự án kỹ thuật</t>
        </is>
      </c>
      <c r="C35" s="12" t="inlineStr">
        <is>
          <t>111168</t>
        </is>
      </c>
      <c r="D35" s="12" t="n">
        <v>3</v>
      </c>
      <c r="E35" s="13" t="inlineStr">
        <is>
          <t>Cơ sở ngành</t>
        </is>
      </c>
      <c r="F35" s="12" t="inlineStr">
        <is>
          <t>II</t>
        </is>
      </c>
      <c r="G35" s="12" t="inlineStr">
        <is>
          <t>2.2</t>
        </is>
      </c>
      <c r="H35" s="13" t="inlineStr">
        <is>
          <t>Chia sẻ thông tin và nội dung thông qua công nghệ số</t>
        </is>
      </c>
      <c r="I35" s="12" t="inlineStr">
        <is>
          <t>Mức 4</t>
        </is>
      </c>
      <c r="J35" s="12" t="inlineStr">
        <is>
          <t>CLO2</t>
        </is>
      </c>
      <c r="K35" s="13" t="inlineStr">
        <is>
          <t>Viết báo cáo trình bày nội dung các công việc đã thực hiện bằng văn bản một cách hợp lý và đúng quy định về định đạng</t>
        </is>
      </c>
      <c r="L35" s="12" t="inlineStr">
        <is>
          <t>PI 3.1</t>
        </is>
      </c>
      <c r="M35" s="13" t="inlineStr">
        <is>
          <t>Báo cáo (Checklist)</t>
        </is>
      </c>
      <c r="N35" s="13" t="inlineStr">
        <is>
          <t>Đẩy mạnh sử dụng nền tảng số (GitHub, Jira) để hợp tác và quản lý dự án nhóm.</t>
        </is>
      </c>
    </row>
    <row r="36" ht="52.8" customHeight="1" s="16">
      <c r="A36" s="12" t="n">
        <v>6</v>
      </c>
      <c r="B36" s="13" t="inlineStr">
        <is>
          <t>Nhập môn Phát triển dự án kỹ thuật</t>
        </is>
      </c>
      <c r="C36" s="12" t="inlineStr">
        <is>
          <t>111168</t>
        </is>
      </c>
      <c r="D36" s="12" t="n">
        <v>3</v>
      </c>
      <c r="E36" s="13" t="inlineStr">
        <is>
          <t>Cơ sở ngành</t>
        </is>
      </c>
      <c r="F36" s="12" t="inlineStr">
        <is>
          <t>V</t>
        </is>
      </c>
      <c r="G36" s="12" t="inlineStr">
        <is>
          <t>5.2</t>
        </is>
      </c>
      <c r="H36" s="13" t="inlineStr">
        <is>
          <t>Xác định nhu cầu và giải pháp công nghệ</t>
        </is>
      </c>
      <c r="I36" s="12" t="inlineStr">
        <is>
          <t>Mức 4</t>
        </is>
      </c>
      <c r="J36" s="12" t="inlineStr">
        <is>
          <t>CLO3</t>
        </is>
      </c>
      <c r="K36" s="13" t="inlineStr">
        <is>
          <t>Phân tích được các yêu tố để đưa ra các quy trình phù hợp với hệ thống đặt ra</t>
        </is>
      </c>
      <c r="L36" s="12" t="inlineStr">
        <is>
          <t>PI 4.3</t>
        </is>
      </c>
      <c r="M36" s="13" t="inlineStr">
        <is>
          <t>Báo cáo (Checklist)</t>
        </is>
      </c>
      <c r="N36" s="13" t="inlineStr">
        <is>
          <t>Áp dụng phương pháp luận kỹ thuật hiện đại (Agile, CDIO) giải quyết bài toán thực tiễn.</t>
        </is>
      </c>
    </row>
    <row r="37" ht="39.6" customHeight="1" s="16">
      <c r="A37" s="12" t="n">
        <v>6</v>
      </c>
      <c r="B37" s="13" t="inlineStr">
        <is>
          <t>Nhập môn Phát triển dự án kỹ thuật</t>
        </is>
      </c>
      <c r="C37" s="12" t="inlineStr">
        <is>
          <t>111168</t>
        </is>
      </c>
      <c r="D37" s="12" t="n">
        <v>3</v>
      </c>
      <c r="E37" s="13" t="inlineStr">
        <is>
          <t>Cơ sở ngành</t>
        </is>
      </c>
      <c r="F37" s="12" t="inlineStr">
        <is>
          <t>II</t>
        </is>
      </c>
      <c r="G37" s="12" t="inlineStr">
        <is>
          <t>2.4</t>
        </is>
      </c>
      <c r="H37" s="13" t="inlineStr">
        <is>
          <t>Hợp tác thông qua công nghệ số</t>
        </is>
      </c>
      <c r="I37" s="12" t="inlineStr">
        <is>
          <t>Mức 3</t>
        </is>
      </c>
      <c r="J37" s="12" t="inlineStr">
        <is>
          <t>CLO4</t>
        </is>
      </c>
      <c r="K37" s="13" t="inlineStr">
        <is>
          <t>Sử dụng kỹ năng trong việc sắp xếp công việc cá nhân hoặc nhóm phù hợp với mục tiêu công việc đề ra</t>
        </is>
      </c>
      <c r="L37" s="12" t="inlineStr">
        <is>
          <t>PI 5.1</t>
        </is>
      </c>
      <c r="M37" s="13" t="inlineStr">
        <is>
          <t>Báo cáo (Checklist)</t>
        </is>
      </c>
      <c r="N37" s="13" t="inlineStr">
        <is>
          <t>Đẩy mạnh sử dụng nền tảng số (GitHub, Jira) để hợp tác và quản lý dự án nhóm.</t>
        </is>
      </c>
    </row>
    <row r="38" ht="52.8" customHeight="1" s="16">
      <c r="A38" s="12" t="n">
        <v>7</v>
      </c>
      <c r="B38" s="13" t="inlineStr">
        <is>
          <t>Vật lý thực hành</t>
        </is>
      </c>
      <c r="C38" s="12" t="inlineStr">
        <is>
          <t>111158</t>
        </is>
      </c>
      <c r="D38" s="12" t="n">
        <v>2</v>
      </c>
      <c r="E38" s="13" t="inlineStr">
        <is>
          <t>Đại cương</t>
        </is>
      </c>
      <c r="F38" s="12" t="inlineStr">
        <is>
          <t>V</t>
        </is>
      </c>
      <c r="G38" s="12" t="inlineStr">
        <is>
          <t>5.1</t>
        </is>
      </c>
      <c r="H38" s="13" t="inlineStr">
        <is>
          <t>Giải quyết các vấn đề kỹ thuật</t>
        </is>
      </c>
      <c r="I38" s="12" t="inlineStr">
        <is>
          <t>Mức 3</t>
        </is>
      </c>
      <c r="J38" s="12" t="inlineStr">
        <is>
          <t>CLO1</t>
        </is>
      </c>
      <c r="K38" s="13" t="inlineStr">
        <is>
          <t>Sử dụng các phần mềm mô phỏng và thiết bị đo số để thu thập số liệu thực nghiệm dao động cơ - điện.</t>
        </is>
      </c>
      <c r="L38" s="12" t="inlineStr">
        <is>
          <t>PI 4.2</t>
        </is>
      </c>
      <c r="M38" s="13" t="inlineStr">
        <is>
          <t>Thực hành thí nghiệm</t>
        </is>
      </c>
      <c r="N38" s="13" t="inlineStr">
        <is>
          <t>Áp dụng phương pháp luận kỹ thuật hiện đại (Agile, CDIO) giải quyết bài toán thực tiễn.</t>
        </is>
      </c>
    </row>
    <row r="39" ht="52.8" customHeight="1" s="16">
      <c r="A39" s="12" t="n">
        <v>7</v>
      </c>
      <c r="B39" s="13" t="inlineStr">
        <is>
          <t>Vật lý thực hành</t>
        </is>
      </c>
      <c r="C39" s="12" t="inlineStr">
        <is>
          <t>111158</t>
        </is>
      </c>
      <c r="D39" s="12" t="n">
        <v>2</v>
      </c>
      <c r="E39" s="13" t="inlineStr">
        <is>
          <t>Đại cương</t>
        </is>
      </c>
      <c r="F39" s="12" t="inlineStr">
        <is>
          <t>V</t>
        </is>
      </c>
      <c r="G39" s="12" t="inlineStr">
        <is>
          <t>5.1</t>
        </is>
      </c>
      <c r="H39" s="13" t="inlineStr">
        <is>
          <t>Giải quyết các vấn đề kỹ thuật</t>
        </is>
      </c>
      <c r="I39" s="12" t="inlineStr">
        <is>
          <t>Mức 3</t>
        </is>
      </c>
      <c r="J39" s="12" t="inlineStr">
        <is>
          <t>CLO2</t>
        </is>
      </c>
      <c r="K39" s="13" t="inlineStr">
        <is>
          <t>Phân tích, xử lý số liệu thực nghiệm và đánh giá sai số bằng công cụ bảng tính số.</t>
        </is>
      </c>
      <c r="L39" s="12" t="inlineStr">
        <is>
          <t>PI 4.3</t>
        </is>
      </c>
      <c r="M39" s="13" t="inlineStr">
        <is>
          <t>Báo cáo thí nghiệm</t>
        </is>
      </c>
      <c r="N39" s="13" t="inlineStr">
        <is>
          <t>Áp dụng phương pháp luận kỹ thuật hiện đại (Agile, CDIO) giải quyết bài toán thực tiễn.</t>
        </is>
      </c>
    </row>
    <row r="40" ht="52.8" customHeight="1" s="16">
      <c r="A40" s="12" t="n">
        <v>8</v>
      </c>
      <c r="B40" s="13" t="inlineStr">
        <is>
          <t>Điện tử trong IoT</t>
        </is>
      </c>
      <c r="C40" s="12" t="inlineStr">
        <is>
          <t>111159</t>
        </is>
      </c>
      <c r="D40" s="12" t="n">
        <v>3</v>
      </c>
      <c r="E40" s="13" t="inlineStr">
        <is>
          <t>Cơ sở ngành</t>
        </is>
      </c>
      <c r="F40" s="12" t="inlineStr">
        <is>
          <t>V</t>
        </is>
      </c>
      <c r="G40" s="12" t="inlineStr">
        <is>
          <t>5.2</t>
        </is>
      </c>
      <c r="H40" s="13" t="inlineStr">
        <is>
          <t>Xác định nhu cầu và giải pháp công nghệ</t>
        </is>
      </c>
      <c r="I40" s="12" t="inlineStr">
        <is>
          <t>Mức 4</t>
        </is>
      </c>
      <c r="J40" s="12" t="inlineStr">
        <is>
          <t>CLO1</t>
        </is>
      </c>
      <c r="K40" s="13" t="inlineStr">
        <is>
          <t>Phân tích đặc tính kỹ thuật và chức năng của các linh kiện điện tử, vi mạch số trong hệ thống IoT.</t>
        </is>
      </c>
      <c r="L40" s="12" t="inlineStr">
        <is>
          <t>PI 1.4</t>
        </is>
      </c>
      <c r="M40" s="13" t="inlineStr">
        <is>
          <t>Trắc nghiệm / Vấn đáp</t>
        </is>
      </c>
      <c r="N40" s="13" t="inlineStr">
        <is>
          <t>Áp dụng phương pháp luận kỹ thuật hiện đại (Agile, CDIO) giải quyết bài toán thực tiễn.</t>
        </is>
      </c>
    </row>
    <row r="41" ht="52.8" customHeight="1" s="16">
      <c r="A41" s="12" t="n">
        <v>8</v>
      </c>
      <c r="B41" s="13" t="inlineStr">
        <is>
          <t>Điện tử trong IoT</t>
        </is>
      </c>
      <c r="C41" s="12" t="inlineStr">
        <is>
          <t>111159</t>
        </is>
      </c>
      <c r="D41" s="12" t="n">
        <v>3</v>
      </c>
      <c r="E41" s="13" t="inlineStr">
        <is>
          <t>Cơ sở ngành</t>
        </is>
      </c>
      <c r="F41" s="12" t="inlineStr">
        <is>
          <t>V</t>
        </is>
      </c>
      <c r="G41" s="12" t="inlineStr">
        <is>
          <t>5.1</t>
        </is>
      </c>
      <c r="H41" s="13" t="inlineStr">
        <is>
          <t>Giải quyết các vấn đề kỹ thuật</t>
        </is>
      </c>
      <c r="I41" s="12" t="inlineStr">
        <is>
          <t>Mức 3</t>
        </is>
      </c>
      <c r="J41" s="12" t="inlineStr">
        <is>
          <t>CLO2</t>
        </is>
      </c>
      <c r="K41" s="13" t="inlineStr">
        <is>
          <t>Thiết kế, lắp ráp và kiểm thử các mạch điện tử thu thập dữ liệu cảm biến cho thiết bị IoT.</t>
        </is>
      </c>
      <c r="L41" s="12" t="inlineStr">
        <is>
          <t>PI 2.2</t>
        </is>
      </c>
      <c r="M41" s="13" t="inlineStr">
        <is>
          <t>Thực hành mạch / Đồ án nhỏ</t>
        </is>
      </c>
      <c r="N41" s="13" t="inlineStr">
        <is>
          <t>Áp dụng phương pháp luận kỹ thuật hiện đại (Agile, CDIO) giải quyết bài toán thực tiễn.</t>
        </is>
      </c>
    </row>
    <row r="42" ht="52.8" customHeight="1" s="16">
      <c r="A42" s="12" t="n">
        <v>8</v>
      </c>
      <c r="B42" s="13" t="inlineStr">
        <is>
          <t>Điện tử trong IoT</t>
        </is>
      </c>
      <c r="C42" s="12" t="inlineStr">
        <is>
          <t>111159</t>
        </is>
      </c>
      <c r="D42" s="12" t="n">
        <v>3</v>
      </c>
      <c r="E42" s="13" t="inlineStr">
        <is>
          <t>Cơ sở ngành</t>
        </is>
      </c>
      <c r="F42" s="12" t="inlineStr">
        <is>
          <t>V</t>
        </is>
      </c>
      <c r="G42" s="12" t="inlineStr">
        <is>
          <t>5.1</t>
        </is>
      </c>
      <c r="H42" s="13" t="inlineStr">
        <is>
          <t>Giải quyết các vấn đề kỹ thuật</t>
        </is>
      </c>
      <c r="I42" s="12" t="inlineStr">
        <is>
          <t>Mức 4</t>
        </is>
      </c>
      <c r="J42" s="12" t="inlineStr">
        <is>
          <t>CLO3</t>
        </is>
      </c>
      <c r="K42" s="13" t="inlineStr">
        <is>
          <t>Đo lường, chẩn đoán và khắc phục sự cố kỹ thuật của mạch điện tử IoT trong quá trình vận hành.</t>
        </is>
      </c>
      <c r="L42" s="12" t="inlineStr">
        <is>
          <t>PI 4.2</t>
        </is>
      </c>
      <c r="M42" s="13" t="inlineStr">
        <is>
          <t>Kiểm tra thực hành</t>
        </is>
      </c>
      <c r="N42" s="13" t="inlineStr">
        <is>
          <t>Áp dụng phương pháp luận kỹ thuật hiện đại (Agile, CDIO) giải quyết bài toán thực tiễn.</t>
        </is>
      </c>
    </row>
    <row r="43" ht="52.8" customHeight="1" s="16">
      <c r="A43" s="12" t="n">
        <v>9</v>
      </c>
      <c r="B43" s="13" t="inlineStr">
        <is>
          <t>Thiết kế UI/UX</t>
        </is>
      </c>
      <c r="C43" s="12" t="inlineStr">
        <is>
          <t>111162</t>
        </is>
      </c>
      <c r="D43" s="12" t="n">
        <v>3</v>
      </c>
      <c r="E43" s="13" t="inlineStr">
        <is>
          <t>Cơ sở ngành</t>
        </is>
      </c>
      <c r="F43" s="12" t="inlineStr">
        <is>
          <t>V</t>
        </is>
      </c>
      <c r="G43" s="12" t="inlineStr">
        <is>
          <t>5.2</t>
        </is>
      </c>
      <c r="H43" s="13" t="inlineStr">
        <is>
          <t>Xác định nhu cầu và giải pháp công nghệ</t>
        </is>
      </c>
      <c r="I43" s="12" t="inlineStr">
        <is>
          <t>Mức 3</t>
        </is>
      </c>
      <c r="J43" s="12" t="inlineStr">
        <is>
          <t>CLO1</t>
        </is>
      </c>
      <c r="K43" s="13" t="inlineStr">
        <is>
          <t>Áp dụng các kỹ thuật thu thập thông tin (phỏng vấn, bảng câu hỏi, đọc tài liệu,...) để xác định các yêu cầu cho hệ thống thông tin</t>
        </is>
      </c>
      <c r="L43" s="12" t="inlineStr">
        <is>
          <t>PI 2.1</t>
        </is>
      </c>
      <c r="M43" s="13" t="inlineStr">
        <is>
          <t>Báo cáo / Thực hành</t>
        </is>
      </c>
      <c r="N43" s="13" t="inlineStr">
        <is>
          <t>Áp dụng phương pháp luận kỹ thuật hiện đại (Agile, CDIO) giải quyết bài toán thực tiễn.</t>
        </is>
      </c>
    </row>
    <row r="44" ht="52.8" customHeight="1" s="16">
      <c r="A44" s="12" t="n">
        <v>9</v>
      </c>
      <c r="B44" s="13" t="inlineStr">
        <is>
          <t>Thiết kế UI/UX</t>
        </is>
      </c>
      <c r="C44" s="12" t="inlineStr">
        <is>
          <t>111162</t>
        </is>
      </c>
      <c r="D44" s="12" t="n">
        <v>3</v>
      </c>
      <c r="E44" s="13" t="inlineStr">
        <is>
          <t>Cơ sở ngành</t>
        </is>
      </c>
      <c r="F44" s="12" t="inlineStr">
        <is>
          <t>III</t>
        </is>
      </c>
      <c r="G44" s="12" t="inlineStr">
        <is>
          <t>3.1</t>
        </is>
      </c>
      <c r="H44" s="13" t="inlineStr">
        <is>
          <t>Phát triển nội dung số</t>
        </is>
      </c>
      <c r="I44" s="12" t="inlineStr">
        <is>
          <t>Mức 4</t>
        </is>
      </c>
      <c r="J44" s="12" t="inlineStr">
        <is>
          <t>CLO2</t>
        </is>
      </c>
      <c r="K44" s="13" t="inlineStr">
        <is>
          <t>Thiết kế giao diện của hệ thống thông tin đáp ứng các tiêu chí về UI/UX</t>
        </is>
      </c>
      <c r="L44" s="12" t="inlineStr">
        <is>
          <t>PI 2.3</t>
        </is>
      </c>
      <c r="M44" s="13" t="inlineStr">
        <is>
          <t>Báo cáo / Thực hành</t>
        </is>
      </c>
      <c r="N44" s="13" t="inlineStr">
        <is>
          <t>Rèn luyện tư duy lập trình tối ưu, chuẩn Clean Code và tuân thủ bản quyền phần mềm.</t>
        </is>
      </c>
    </row>
    <row r="45" ht="52.8" customHeight="1" s="16">
      <c r="A45" s="12" t="n">
        <v>9</v>
      </c>
      <c r="B45" s="13" t="inlineStr">
        <is>
          <t>Thiết kế UI/UX</t>
        </is>
      </c>
      <c r="C45" s="12" t="inlineStr">
        <is>
          <t>111162</t>
        </is>
      </c>
      <c r="D45" s="12" t="n">
        <v>3</v>
      </c>
      <c r="E45" s="13" t="inlineStr">
        <is>
          <t>Cơ sở ngành</t>
        </is>
      </c>
      <c r="F45" s="12" t="inlineStr">
        <is>
          <t>III</t>
        </is>
      </c>
      <c r="G45" s="12" t="inlineStr">
        <is>
          <t>3.1</t>
        </is>
      </c>
      <c r="H45" s="13" t="inlineStr">
        <is>
          <t>Phát triển nội dung số</t>
        </is>
      </c>
      <c r="I45" s="12" t="inlineStr">
        <is>
          <t>Mức 3</t>
        </is>
      </c>
      <c r="J45" s="12" t="inlineStr">
        <is>
          <t>CLO3</t>
        </is>
      </c>
      <c r="K45" s="13" t="inlineStr">
        <is>
          <t>Sử dụng được các công cụ đồ họa để trình bày các ý tưởng thiết kế dữ liệu</t>
        </is>
      </c>
      <c r="L45" s="12" t="inlineStr">
        <is>
          <t>PI 3.4</t>
        </is>
      </c>
      <c r="M45" s="13" t="inlineStr">
        <is>
          <t>Báo cáo / Thực hành</t>
        </is>
      </c>
      <c r="N45" s="13" t="inlineStr">
        <is>
          <t>Rèn luyện tư duy lập trình tối ưu, chuẩn Clean Code và tuân thủ bản quyền phần mềm.</t>
        </is>
      </c>
    </row>
    <row r="46" ht="39.6" customHeight="1" s="16">
      <c r="A46" s="12" t="n">
        <v>9</v>
      </c>
      <c r="B46" s="13" t="inlineStr">
        <is>
          <t>Thiết kế UI/UX</t>
        </is>
      </c>
      <c r="C46" s="12" t="inlineStr">
        <is>
          <t>111162</t>
        </is>
      </c>
      <c r="D46" s="12" t="n">
        <v>3</v>
      </c>
      <c r="E46" s="13" t="inlineStr">
        <is>
          <t>Cơ sở ngành</t>
        </is>
      </c>
      <c r="F46" s="12" t="inlineStr">
        <is>
          <t>II</t>
        </is>
      </c>
      <c r="G46" s="12" t="inlineStr">
        <is>
          <t>2.4</t>
        </is>
      </c>
      <c r="H46" s="13" t="inlineStr">
        <is>
          <t>Hợp tác thông qua công nghệ số</t>
        </is>
      </c>
      <c r="I46" s="12" t="inlineStr">
        <is>
          <t>Mức 3</t>
        </is>
      </c>
      <c r="J46" s="12" t="inlineStr">
        <is>
          <t>CLO4</t>
        </is>
      </c>
      <c r="K46" s="13" t="inlineStr">
        <is>
          <t>Sử dụng kỹ năng trong việc sắp xếp công việc cá nhân hoặc nhóm phù hợp với mục tiêu công việc đề ra</t>
        </is>
      </c>
      <c r="L46" s="12" t="inlineStr">
        <is>
          <t>PI 5.1</t>
        </is>
      </c>
      <c r="M46" s="13" t="inlineStr">
        <is>
          <t>Báo cáo / Thực hành</t>
        </is>
      </c>
      <c r="N46" s="13" t="inlineStr">
        <is>
          <t>Đẩy mạnh sử dụng nền tảng số (GitHub, Jira) để hợp tác và quản lý dự án nhóm.</t>
        </is>
      </c>
    </row>
    <row r="47" ht="52.8" customHeight="1" s="16">
      <c r="A47" s="12" t="n">
        <v>10</v>
      </c>
      <c r="B47" s="13" t="inlineStr">
        <is>
          <t>Kỹ Thuật lập trình</t>
        </is>
      </c>
      <c r="C47" s="12" t="inlineStr">
        <is>
          <t>111161</t>
        </is>
      </c>
      <c r="D47" s="12" t="n">
        <v>3</v>
      </c>
      <c r="E47" s="13" t="inlineStr">
        <is>
          <t>Cơ sở ngành</t>
        </is>
      </c>
      <c r="F47" s="12" t="inlineStr">
        <is>
          <t>III</t>
        </is>
      </c>
      <c r="G47" s="12" t="inlineStr">
        <is>
          <t>3.4</t>
        </is>
      </c>
      <c r="H47" s="13" t="inlineStr">
        <is>
          <t>Lập trình</t>
        </is>
      </c>
      <c r="I47" s="12" t="inlineStr">
        <is>
          <t>Mức 3</t>
        </is>
      </c>
      <c r="J47" s="12" t="inlineStr">
        <is>
          <t>CLO1</t>
        </is>
      </c>
      <c r="K47" s="13" t="inlineStr">
        <is>
          <t>Áp dụng ngôn ngữ lập trình để hiện thực các thuật toán đề ra</t>
        </is>
      </c>
      <c r="L47" s="12" t="inlineStr">
        <is>
          <t>PI 1.3</t>
        </is>
      </c>
      <c r="M47" s="13" t="inlineStr">
        <is>
          <t>Report (Marking Guide)</t>
        </is>
      </c>
      <c r="N47" s="13" t="inlineStr">
        <is>
          <t>Rèn luyện tư duy lập trình tối ưu, chuẩn Clean Code và tuân thủ bản quyền phần mềm.</t>
        </is>
      </c>
    </row>
    <row r="48" ht="52.8" customHeight="1" s="16">
      <c r="A48" s="12" t="n">
        <v>10</v>
      </c>
      <c r="B48" s="13" t="inlineStr">
        <is>
          <t>Kỹ Thuật lập trình</t>
        </is>
      </c>
      <c r="C48" s="12" t="inlineStr">
        <is>
          <t>111161</t>
        </is>
      </c>
      <c r="D48" s="12" t="n">
        <v>3</v>
      </c>
      <c r="E48" s="13" t="inlineStr">
        <is>
          <t>Cơ sở ngành</t>
        </is>
      </c>
      <c r="F48" s="12" t="inlineStr">
        <is>
          <t>III</t>
        </is>
      </c>
      <c r="G48" s="12" t="inlineStr">
        <is>
          <t>3.1</t>
        </is>
      </c>
      <c r="H48" s="13" t="inlineStr">
        <is>
          <t>Phát triển nội dung số</t>
        </is>
      </c>
      <c r="I48" s="12" t="inlineStr">
        <is>
          <t>Mức 3</t>
        </is>
      </c>
      <c r="J48" s="12" t="inlineStr">
        <is>
          <t>CLO2</t>
        </is>
      </c>
      <c r="K48" s="13" t="inlineStr">
        <is>
          <t>Sử dụng được các công cụ đồ họa để trình bày các ý tưởng thiết kế dữ liệu</t>
        </is>
      </c>
      <c r="L48" s="12" t="inlineStr">
        <is>
          <t>PI 3.4</t>
        </is>
      </c>
      <c r="M48" s="13" t="inlineStr">
        <is>
          <t>Report (Marking Guide)</t>
        </is>
      </c>
      <c r="N48" s="13" t="inlineStr">
        <is>
          <t>Rèn luyện tư duy lập trình tối ưu, chuẩn Clean Code và tuân thủ bản quyền phần mềm.</t>
        </is>
      </c>
    </row>
    <row r="49" ht="52.8" customHeight="1" s="16">
      <c r="A49" s="12" t="n">
        <v>10</v>
      </c>
      <c r="B49" s="13" t="inlineStr">
        <is>
          <t>Kỹ Thuật lập trình</t>
        </is>
      </c>
      <c r="C49" s="12" t="inlineStr">
        <is>
          <t>111161</t>
        </is>
      </c>
      <c r="D49" s="12" t="n">
        <v>3</v>
      </c>
      <c r="E49" s="13" t="inlineStr">
        <is>
          <t>Cơ sở ngành</t>
        </is>
      </c>
      <c r="F49" s="12" t="inlineStr">
        <is>
          <t>V</t>
        </is>
      </c>
      <c r="G49" s="12" t="inlineStr">
        <is>
          <t>5.1</t>
        </is>
      </c>
      <c r="H49" s="13" t="inlineStr">
        <is>
          <t>Giải quyết các vấn đề kỹ thuật</t>
        </is>
      </c>
      <c r="I49" s="12" t="inlineStr">
        <is>
          <t>Mức 4</t>
        </is>
      </c>
      <c r="J49" s="12" t="inlineStr">
        <is>
          <t>CLO3</t>
        </is>
      </c>
      <c r="K49" s="13" t="inlineStr">
        <is>
          <t>Thực hiện được các bài kiểm thử để đánh giá chức năng phù hợp với yêu cầu bài toán</t>
        </is>
      </c>
      <c r="L49" s="12" t="inlineStr">
        <is>
          <t>PI 4.1</t>
        </is>
      </c>
      <c r="M49" s="13" t="inlineStr">
        <is>
          <t>Report (Marking Guide)</t>
        </is>
      </c>
      <c r="N49" s="13" t="inlineStr">
        <is>
          <t>Áp dụng phương pháp luận kỹ thuật hiện đại (Agile, CDIO) giải quyết bài toán thực tiễn.</t>
        </is>
      </c>
    </row>
    <row r="50" ht="39.6" customHeight="1" s="16">
      <c r="A50" s="12" t="n">
        <v>10</v>
      </c>
      <c r="B50" s="13" t="inlineStr">
        <is>
          <t>Kỹ Thuật lập trình</t>
        </is>
      </c>
      <c r="C50" s="12" t="inlineStr">
        <is>
          <t>111161</t>
        </is>
      </c>
      <c r="D50" s="12" t="n">
        <v>3</v>
      </c>
      <c r="E50" s="13" t="inlineStr">
        <is>
          <t>Cơ sở ngành</t>
        </is>
      </c>
      <c r="F50" s="12" t="inlineStr">
        <is>
          <t>VI</t>
        </is>
      </c>
      <c r="G50" s="12" t="inlineStr">
        <is>
          <t>6.2</t>
        </is>
      </c>
      <c r="H50" s="13" t="inlineStr">
        <is>
          <t>Sử dụng AI có đạo đức và trách nhiệm</t>
        </is>
      </c>
      <c r="I50" s="12" t="inlineStr">
        <is>
          <t>Mức 4</t>
        </is>
      </c>
      <c r="J50" s="12" t="inlineStr">
        <is>
          <t>CLO4</t>
        </is>
      </c>
      <c r="K50" s="13" t="inlineStr">
        <is>
          <t>Thể hiện được vai trò cá nhân trong nhóm một cách rõ ràng</t>
        </is>
      </c>
      <c r="L50" s="12" t="inlineStr">
        <is>
          <t>PI 5.2</t>
        </is>
      </c>
      <c r="M50" s="13" t="inlineStr">
        <is>
          <t>Report (Marking Guide)</t>
        </is>
      </c>
      <c r="N50" s="13" t="inlineStr">
        <is>
          <t>Tích hợp xu hướng Vibe Coding và khai thác trợ lý AI có trách nhiệm, chuẩn mực.</t>
        </is>
      </c>
    </row>
    <row r="51" ht="52.8" customHeight="1" s="16">
      <c r="A51" s="12" t="n">
        <v>11</v>
      </c>
      <c r="B51" s="13" t="inlineStr">
        <is>
          <t>Thiết kế web</t>
        </is>
      </c>
      <c r="C51" s="12" t="inlineStr">
        <is>
          <t>111164</t>
        </is>
      </c>
      <c r="D51" s="12" t="n">
        <v>3</v>
      </c>
      <c r="E51" s="13" t="inlineStr">
        <is>
          <t>Cơ sở ngành</t>
        </is>
      </c>
      <c r="F51" s="12" t="inlineStr">
        <is>
          <t>V</t>
        </is>
      </c>
      <c r="G51" s="12" t="inlineStr">
        <is>
          <t>5.2</t>
        </is>
      </c>
      <c r="H51" s="13" t="inlineStr">
        <is>
          <t>Xác định nhu cầu và giải pháp công nghệ</t>
        </is>
      </c>
      <c r="I51" s="12" t="inlineStr">
        <is>
          <t>Mức 4</t>
        </is>
      </c>
      <c r="J51" s="12" t="inlineStr">
        <is>
          <t>CLO1</t>
        </is>
      </c>
      <c r="K51" s="13" t="inlineStr">
        <is>
          <t>Phân tích yêu cầu người dùng và môi trường nền tảng để xác định các chức năng cần thiết cho hệ thống web</t>
        </is>
      </c>
      <c r="L51" s="12" t="inlineStr">
        <is>
          <t>PI 2.1</t>
        </is>
      </c>
      <c r="M51" s="13" t="inlineStr">
        <is>
          <t>Report (Rubirc)</t>
        </is>
      </c>
      <c r="N51" s="13" t="inlineStr">
        <is>
          <t>Áp dụng phương pháp luận kỹ thuật hiện đại (Agile, CDIO) giải quyết bài toán thực tiễn.</t>
        </is>
      </c>
    </row>
    <row r="52" ht="52.8" customHeight="1" s="16">
      <c r="A52" s="12" t="n">
        <v>11</v>
      </c>
      <c r="B52" s="13" t="inlineStr">
        <is>
          <t>Thiết kế web</t>
        </is>
      </c>
      <c r="C52" s="12" t="inlineStr">
        <is>
          <t>111164</t>
        </is>
      </c>
      <c r="D52" s="12" t="n">
        <v>3</v>
      </c>
      <c r="E52" s="13" t="inlineStr">
        <is>
          <t>Cơ sở ngành</t>
        </is>
      </c>
      <c r="F52" s="12" t="inlineStr">
        <is>
          <t>III</t>
        </is>
      </c>
      <c r="G52" s="12" t="inlineStr">
        <is>
          <t>3.1</t>
        </is>
      </c>
      <c r="H52" s="13" t="inlineStr">
        <is>
          <t>Phát triển nội dung số</t>
        </is>
      </c>
      <c r="I52" s="12" t="inlineStr">
        <is>
          <t>Mức 4</t>
        </is>
      </c>
      <c r="J52" s="12" t="inlineStr">
        <is>
          <t>CLO2</t>
        </is>
      </c>
      <c r="K52" s="13" t="inlineStr">
        <is>
          <t>Thiết kế giao diện người dùng (UI) của một hệ thống web tĩnh hoặc tương tác phù hợp với yêu cầu chức năng đã phân tích</t>
        </is>
      </c>
      <c r="L52" s="12" t="inlineStr">
        <is>
          <t>PI 2.3</t>
        </is>
      </c>
      <c r="M52" s="13" t="inlineStr">
        <is>
          <t>Report (Rubirc)</t>
        </is>
      </c>
      <c r="N52" s="13" t="inlineStr">
        <is>
          <t>Rèn luyện tư duy lập trình tối ưu, chuẩn Clean Code và tuân thủ bản quyền phần mềm.</t>
        </is>
      </c>
    </row>
    <row r="53" ht="39.6" customHeight="1" s="16">
      <c r="A53" s="12" t="n">
        <v>11</v>
      </c>
      <c r="B53" s="13" t="inlineStr">
        <is>
          <t>Thiết kế web</t>
        </is>
      </c>
      <c r="C53" s="12" t="inlineStr">
        <is>
          <t>111164</t>
        </is>
      </c>
      <c r="D53" s="12" t="n">
        <v>3</v>
      </c>
      <c r="E53" s="13" t="inlineStr">
        <is>
          <t>Cơ sở ngành</t>
        </is>
      </c>
      <c r="F53" s="12" t="inlineStr">
        <is>
          <t>II</t>
        </is>
      </c>
      <c r="G53" s="12" t="inlineStr">
        <is>
          <t>2.1</t>
        </is>
      </c>
      <c r="H53" s="13" t="inlineStr">
        <is>
          <t>Tương tác thông qua công nghệ số</t>
        </is>
      </c>
      <c r="I53" s="12" t="inlineStr">
        <is>
          <t>Mức 4</t>
        </is>
      </c>
      <c r="J53" s="12" t="inlineStr">
        <is>
          <t>CLO3</t>
        </is>
      </c>
      <c r="K53" s="13" t="inlineStr">
        <is>
          <t>Trình bày và thuyết minh các thiết kế web cá nhân hoặc nhóm bằng phương pháp trình chiếu, sơ đồ và mô tả trực quan</t>
        </is>
      </c>
      <c r="L53" s="12" t="inlineStr">
        <is>
          <t>PI 3.2</t>
        </is>
      </c>
      <c r="M53" s="13" t="inlineStr">
        <is>
          <t>Report (Rubirc)</t>
        </is>
      </c>
      <c r="N53" s="13" t="inlineStr">
        <is>
          <t>Đẩy mạnh sử dụng nền tảng số (GitHub, Jira) để hợp tác và quản lý dự án nhóm.</t>
        </is>
      </c>
    </row>
    <row r="54" ht="52.8" customHeight="1" s="16">
      <c r="A54" s="12" t="n">
        <v>11</v>
      </c>
      <c r="B54" s="13" t="inlineStr">
        <is>
          <t>Thiết kế web</t>
        </is>
      </c>
      <c r="C54" s="12" t="inlineStr">
        <is>
          <t>111164</t>
        </is>
      </c>
      <c r="D54" s="12" t="n">
        <v>3</v>
      </c>
      <c r="E54" s="13" t="inlineStr">
        <is>
          <t>Cơ sở ngành</t>
        </is>
      </c>
      <c r="F54" s="12" t="inlineStr">
        <is>
          <t>V</t>
        </is>
      </c>
      <c r="G54" s="12" t="inlineStr">
        <is>
          <t>5.2</t>
        </is>
      </c>
      <c r="H54" s="13" t="inlineStr">
        <is>
          <t>Xác định nhu cầu và giải pháp công nghệ</t>
        </is>
      </c>
      <c r="I54" s="12" t="inlineStr">
        <is>
          <t>Mức 3</t>
        </is>
      </c>
      <c r="J54" s="12" t="inlineStr">
        <is>
          <t>CLO4</t>
        </is>
      </c>
      <c r="K54" s="13" t="inlineStr">
        <is>
          <t>Lập kế hoạch, phân công và áp dụng kỹ thuật quản lý dự án đơn giản để phát triển website trong môi trường nhóm nhỏ</t>
        </is>
      </c>
      <c r="L54" s="12" t="inlineStr">
        <is>
          <t>PI 5.3</t>
        </is>
      </c>
      <c r="M54" s="13" t="inlineStr">
        <is>
          <t>Report (Rubirc)</t>
        </is>
      </c>
      <c r="N54" s="13" t="inlineStr">
        <is>
          <t>Áp dụng phương pháp luận kỹ thuật hiện đại (Agile, CDIO) giải quyết bài toán thực tiễn.</t>
        </is>
      </c>
    </row>
    <row r="55" ht="52.8" customHeight="1" s="16">
      <c r="A55" s="12" t="n">
        <v>12</v>
      </c>
      <c r="B55" s="13" t="inlineStr">
        <is>
          <t>Mạng máy tính</t>
        </is>
      </c>
      <c r="C55" s="12" t="inlineStr">
        <is>
          <t>111160</t>
        </is>
      </c>
      <c r="D55" s="12" t="n">
        <v>3</v>
      </c>
      <c r="E55" s="13" t="inlineStr">
        <is>
          <t>Cơ sở ngành</t>
        </is>
      </c>
      <c r="F55" s="12" t="inlineStr">
        <is>
          <t>V</t>
        </is>
      </c>
      <c r="G55" s="12" t="inlineStr">
        <is>
          <t>5.2</t>
        </is>
      </c>
      <c r="H55" s="13" t="inlineStr">
        <is>
          <t>Xác định nhu cầu và giải pháp công nghệ</t>
        </is>
      </c>
      <c r="I55" s="12" t="inlineStr">
        <is>
          <t>Mức 4</t>
        </is>
      </c>
      <c r="J55" s="12" t="inlineStr">
        <is>
          <t>CLO1</t>
        </is>
      </c>
      <c r="K55" s="13" t="inlineStr">
        <is>
          <t>Thiết kế (mô hình) hệ thống mạng đáp ứng yêu cầu đặt ra.</t>
        </is>
      </c>
      <c r="L55" s="12" t="inlineStr">
        <is>
          <t>PI 2.2</t>
        </is>
      </c>
      <c r="M55" s="13" t="inlineStr">
        <is>
          <t>Performance Test (Checklist)</t>
        </is>
      </c>
      <c r="N55" s="13" t="inlineStr">
        <is>
          <t>Áp dụng phương pháp luận kỹ thuật hiện đại (Agile, CDIO) giải quyết bài toán thực tiễn.</t>
        </is>
      </c>
    </row>
    <row r="56" ht="52.8" customHeight="1" s="16">
      <c r="A56" s="12" t="n">
        <v>12</v>
      </c>
      <c r="B56" s="13" t="inlineStr">
        <is>
          <t>Mạng máy tính</t>
        </is>
      </c>
      <c r="C56" s="12" t="inlineStr">
        <is>
          <t>111160</t>
        </is>
      </c>
      <c r="D56" s="12" t="n">
        <v>3</v>
      </c>
      <c r="E56" s="13" t="inlineStr">
        <is>
          <t>Cơ sở ngành</t>
        </is>
      </c>
      <c r="F56" s="12" t="inlineStr">
        <is>
          <t>V</t>
        </is>
      </c>
      <c r="G56" s="12" t="inlineStr">
        <is>
          <t>5.2</t>
        </is>
      </c>
      <c r="H56" s="13" t="inlineStr">
        <is>
          <t>Xác định nhu cầu và giải pháp công nghệ</t>
        </is>
      </c>
      <c r="I56" s="12" t="inlineStr">
        <is>
          <t>Mức 3</t>
        </is>
      </c>
      <c r="J56" s="12" t="inlineStr">
        <is>
          <t>CLO2</t>
        </is>
      </c>
      <c r="K56" s="13" t="inlineStr">
        <is>
          <t>Thiết kế (cầu hình) địa chỉ và thông tin cơ bản thiết bị trong hệ thống mạng đáp ứng yêu cầu đặt ra.</t>
        </is>
      </c>
      <c r="L56" s="12" t="inlineStr">
        <is>
          <t>PI 2.2</t>
        </is>
      </c>
      <c r="M56" s="13" t="inlineStr">
        <is>
          <t>Performance Test (Checklist)</t>
        </is>
      </c>
      <c r="N56" s="13" t="inlineStr">
        <is>
          <t>Áp dụng phương pháp luận kỹ thuật hiện đại (Agile, CDIO) giải quyết bài toán thực tiễn.</t>
        </is>
      </c>
    </row>
    <row r="57" ht="52.8" customHeight="1" s="16">
      <c r="A57" s="12" t="n">
        <v>12</v>
      </c>
      <c r="B57" s="13" t="inlineStr">
        <is>
          <t>Mạng máy tính</t>
        </is>
      </c>
      <c r="C57" s="12" t="inlineStr">
        <is>
          <t>111160</t>
        </is>
      </c>
      <c r="D57" s="12" t="n">
        <v>3</v>
      </c>
      <c r="E57" s="13" t="inlineStr">
        <is>
          <t>Cơ sở ngành</t>
        </is>
      </c>
      <c r="F57" s="12" t="inlineStr">
        <is>
          <t>III</t>
        </is>
      </c>
      <c r="G57" s="12" t="inlineStr">
        <is>
          <t>3.1</t>
        </is>
      </c>
      <c r="H57" s="13" t="inlineStr">
        <is>
          <t>Phát triển nội dung số</t>
        </is>
      </c>
      <c r="I57" s="12" t="inlineStr">
        <is>
          <t>Mức 3</t>
        </is>
      </c>
      <c r="J57" s="12" t="inlineStr">
        <is>
          <t>CLO3</t>
        </is>
      </c>
      <c r="K57" s="13" t="inlineStr">
        <is>
          <t>Sử dụng được các công cụ đồ họa để trình bày các ý tưởng thiết kế dữ liệu</t>
        </is>
      </c>
      <c r="L57" s="12" t="inlineStr">
        <is>
          <t>PI 3.4</t>
        </is>
      </c>
      <c r="M57" s="13" t="inlineStr">
        <is>
          <t>Performance Test (Checklist)</t>
        </is>
      </c>
      <c r="N57" s="13" t="inlineStr">
        <is>
          <t>Rèn luyện tư duy lập trình tối ưu, chuẩn Clean Code và tuân thủ bản quyền phần mềm.</t>
        </is>
      </c>
    </row>
    <row r="58" ht="39.6" customHeight="1" s="16">
      <c r="A58" s="12" t="n">
        <v>12</v>
      </c>
      <c r="B58" s="13" t="inlineStr">
        <is>
          <t>Mạng máy tính</t>
        </is>
      </c>
      <c r="C58" s="12" t="inlineStr">
        <is>
          <t>111160</t>
        </is>
      </c>
      <c r="D58" s="12" t="n">
        <v>3</v>
      </c>
      <c r="E58" s="13" t="inlineStr">
        <is>
          <t>Cơ sở ngành</t>
        </is>
      </c>
      <c r="F58" s="12" t="inlineStr">
        <is>
          <t>II</t>
        </is>
      </c>
      <c r="G58" s="12" t="inlineStr">
        <is>
          <t>2.4</t>
        </is>
      </c>
      <c r="H58" s="13" t="inlineStr">
        <is>
          <t>Hợp tác thông qua công nghệ số</t>
        </is>
      </c>
      <c r="I58" s="12" t="inlineStr">
        <is>
          <t>Mức 4</t>
        </is>
      </c>
      <c r="J58" s="12" t="inlineStr">
        <is>
          <t>CLO4</t>
        </is>
      </c>
      <c r="K58" s="13" t="inlineStr">
        <is>
          <t>Thể hiện được vai trò cá nhân trong nhóm một cách rõ ràng</t>
        </is>
      </c>
      <c r="L58" s="12" t="inlineStr">
        <is>
          <t>PI 5.2</t>
        </is>
      </c>
      <c r="M58" s="13" t="inlineStr">
        <is>
          <t>Report (Rubric)</t>
        </is>
      </c>
      <c r="N58" s="13" t="inlineStr">
        <is>
          <t>Đẩy mạnh sử dụng nền tảng số (GitHub, Jira) để hợp tác và quản lý dự án nhóm.</t>
        </is>
      </c>
    </row>
    <row r="59" ht="52.8" customHeight="1" s="16">
      <c r="A59" s="12" t="n">
        <v>13</v>
      </c>
      <c r="B59" s="13" t="inlineStr">
        <is>
          <t>Toán rời rạc</t>
        </is>
      </c>
      <c r="C59" s="12" t="inlineStr">
        <is>
          <t>111174</t>
        </is>
      </c>
      <c r="D59" s="12" t="n">
        <v>3</v>
      </c>
      <c r="E59" s="13" t="inlineStr">
        <is>
          <t>Đại cương</t>
        </is>
      </c>
      <c r="F59" s="12" t="inlineStr">
        <is>
          <t>V</t>
        </is>
      </c>
      <c r="G59" s="12" t="inlineStr">
        <is>
          <t>5.2</t>
        </is>
      </c>
      <c r="H59" s="13" t="inlineStr">
        <is>
          <t>Xác định nhu cầu và giải pháp công nghệ</t>
        </is>
      </c>
      <c r="I59" s="12" t="inlineStr">
        <is>
          <t>Mức 3</t>
        </is>
      </c>
      <c r="J59" s="12" t="inlineStr">
        <is>
          <t>CLO1</t>
        </is>
      </c>
      <c r="K59" s="13" t="inlineStr">
        <is>
          <t>Áp dụng đại số Boole, lý thuyết đồ thị và logic mệnh đề để mô hình hóa và giải quyết bài toán tin học.</t>
        </is>
      </c>
      <c r="L59" s="12" t="inlineStr">
        <is>
          <t>PI 1.1</t>
        </is>
      </c>
      <c r="M59" s="13" t="inlineStr">
        <is>
          <t>Tự luận / Trắc nghiệm</t>
        </is>
      </c>
      <c r="N59" s="13" t="inlineStr">
        <is>
          <t>Áp dụng phương pháp luận kỹ thuật hiện đại (Agile, CDIO) giải quyết bài toán thực tiễn.</t>
        </is>
      </c>
    </row>
    <row r="60" ht="52.8" customHeight="1" s="16">
      <c r="A60" s="12" t="n">
        <v>13</v>
      </c>
      <c r="B60" s="13" t="inlineStr">
        <is>
          <t>Toán rời rạc</t>
        </is>
      </c>
      <c r="C60" s="12" t="inlineStr">
        <is>
          <t>111174</t>
        </is>
      </c>
      <c r="D60" s="12" t="n">
        <v>3</v>
      </c>
      <c r="E60" s="13" t="inlineStr">
        <is>
          <t>Đại cương</t>
        </is>
      </c>
      <c r="F60" s="12" t="inlineStr">
        <is>
          <t>III</t>
        </is>
      </c>
      <c r="G60" s="12" t="inlineStr">
        <is>
          <t>3.4</t>
        </is>
      </c>
      <c r="H60" s="13" t="inlineStr">
        <is>
          <t>Lập trình</t>
        </is>
      </c>
      <c r="I60" s="12" t="inlineStr">
        <is>
          <t>Mức 3</t>
        </is>
      </c>
      <c r="J60" s="12" t="inlineStr">
        <is>
          <t>CLO2</t>
        </is>
      </c>
      <c r="K60" s="13" t="inlineStr">
        <is>
          <t>Hiện thực các thuật toán duyệt đồ thị, tối ưu hóa mạng lưới bằng ngôn ngữ lập trình.</t>
        </is>
      </c>
      <c r="L60" s="12" t="inlineStr">
        <is>
          <t>PI 1.3</t>
        </is>
      </c>
      <c r="M60" s="13" t="inlineStr">
        <is>
          <t>Bài tập lập trình trên máy</t>
        </is>
      </c>
      <c r="N60" s="13" t="inlineStr">
        <is>
          <t>Rèn luyện tư duy lập trình tối ưu, chuẩn Clean Code và tuân thủ bản quyền phần mềm.</t>
        </is>
      </c>
    </row>
    <row r="61" ht="52.8" customHeight="1" s="16">
      <c r="A61" s="12" t="n">
        <v>14</v>
      </c>
      <c r="B61" s="13" t="inlineStr">
        <is>
          <t>Cấu trúc dữ liệu và giải thuật</t>
        </is>
      </c>
      <c r="C61" s="12" t="inlineStr">
        <is>
          <t>111167</t>
        </is>
      </c>
      <c r="D61" s="12" t="n">
        <v>3</v>
      </c>
      <c r="E61" s="13" t="inlineStr">
        <is>
          <t>Cơ sở ngành</t>
        </is>
      </c>
      <c r="F61" s="12" t="inlineStr">
        <is>
          <t>III</t>
        </is>
      </c>
      <c r="G61" s="12" t="inlineStr">
        <is>
          <t>3.4</t>
        </is>
      </c>
      <c r="H61" s="13" t="inlineStr">
        <is>
          <t>Lập trình</t>
        </is>
      </c>
      <c r="I61" s="12" t="inlineStr">
        <is>
          <t>Mức 3</t>
        </is>
      </c>
      <c r="J61" s="12" t="inlineStr">
        <is>
          <t>CLO2</t>
        </is>
      </c>
      <c r="K61" s="13" t="inlineStr">
        <is>
          <t>Áp dụng ngôn ngữ lập trình để cài đặt cấu trúc dữ liệu hoặc thuật toán giải quyết vấn đề được yêu cầu</t>
        </is>
      </c>
      <c r="L61" s="12" t="inlineStr">
        <is>
          <t>PI 1.3</t>
        </is>
      </c>
      <c r="M61" s="13" t="inlineStr">
        <is>
          <t>Báo cáo (Rubric)</t>
        </is>
      </c>
      <c r="N61" s="13" t="inlineStr">
        <is>
          <t>Rèn luyện tư duy lập trình tối ưu, chuẩn Clean Code và tuân thủ bản quyền phần mềm.</t>
        </is>
      </c>
    </row>
    <row r="62" ht="52.8" customHeight="1" s="16">
      <c r="A62" s="12" t="n">
        <v>14</v>
      </c>
      <c r="B62" s="13" t="inlineStr">
        <is>
          <t>Cấu trúc dữ liệu và giải thuật</t>
        </is>
      </c>
      <c r="C62" s="12" t="inlineStr">
        <is>
          <t>111167</t>
        </is>
      </c>
      <c r="D62" s="12" t="n">
        <v>3</v>
      </c>
      <c r="E62" s="13" t="inlineStr">
        <is>
          <t>Cơ sở ngành</t>
        </is>
      </c>
      <c r="F62" s="12" t="inlineStr">
        <is>
          <t>I</t>
        </is>
      </c>
      <c r="G62" s="12" t="inlineStr">
        <is>
          <t>1.1</t>
        </is>
      </c>
      <c r="H62" s="13" t="inlineStr">
        <is>
          <t>Duyệt, tìm kiếm và lọc dữ liệu, thông tin và nội dung số</t>
        </is>
      </c>
      <c r="I62" s="12" t="inlineStr">
        <is>
          <t>Mức 3</t>
        </is>
      </c>
      <c r="J62" s="12" t="inlineStr">
        <is>
          <t>CLO3</t>
        </is>
      </c>
      <c r="K62" s="13" t="inlineStr">
        <is>
          <t>Biết cách tìm kiếm và chọn lựa tài liệu sử dụng phù hợp để giải quyết các vấn đề đặt ra</t>
        </is>
      </c>
      <c r="L62" s="12" t="inlineStr">
        <is>
          <t>PI 3.3</t>
        </is>
      </c>
      <c r="M62" s="13" t="inlineStr">
        <is>
          <t>Báo cáo (Rubric)</t>
        </is>
      </c>
      <c r="N62" s="13" t="inlineStr">
        <is>
          <t>Ứng dụng các kỹ thuật phân tích và truy xuất dữ liệu lớn phục vụ học tập và nghiên cứu.</t>
        </is>
      </c>
    </row>
    <row r="63" ht="52.8" customHeight="1" s="16">
      <c r="A63" s="12" t="n">
        <v>14</v>
      </c>
      <c r="B63" s="13" t="inlineStr">
        <is>
          <t>Cấu trúc dữ liệu và giải thuật</t>
        </is>
      </c>
      <c r="C63" s="12" t="inlineStr">
        <is>
          <t>111167</t>
        </is>
      </c>
      <c r="D63" s="12" t="n">
        <v>3</v>
      </c>
      <c r="E63" s="13" t="inlineStr">
        <is>
          <t>Cơ sở ngành</t>
        </is>
      </c>
      <c r="F63" s="12" t="inlineStr">
        <is>
          <t>V</t>
        </is>
      </c>
      <c r="G63" s="12" t="inlineStr">
        <is>
          <t>5.1</t>
        </is>
      </c>
      <c r="H63" s="13" t="inlineStr">
        <is>
          <t>Giải quyết các vấn đề kỹ thuật</t>
        </is>
      </c>
      <c r="I63" s="12" t="inlineStr">
        <is>
          <t>Mức 4</t>
        </is>
      </c>
      <c r="J63" s="12" t="inlineStr">
        <is>
          <t>CLO4</t>
        </is>
      </c>
      <c r="K63" s="13" t="inlineStr">
        <is>
          <t>Thực nghiệm các trường hợp kiểm thử để xác định cấu trúc dữ liệu hoặc thuật toán phù hợp yêu cầu.</t>
        </is>
      </c>
      <c r="L63" s="12" t="inlineStr">
        <is>
          <t>PI 4.2</t>
        </is>
      </c>
      <c r="M63" s="13" t="inlineStr">
        <is>
          <t>Báo cáo (Rubric)</t>
        </is>
      </c>
      <c r="N63" s="13" t="inlineStr">
        <is>
          <t>Áp dụng phương pháp luận kỹ thuật hiện đại (Agile, CDIO) giải quyết bài toán thực tiễn.</t>
        </is>
      </c>
    </row>
    <row r="64" ht="39.6" customHeight="1" s="16">
      <c r="A64" s="12" t="n">
        <v>14</v>
      </c>
      <c r="B64" s="13" t="inlineStr">
        <is>
          <t>Cấu trúc dữ liệu và giải thuật</t>
        </is>
      </c>
      <c r="C64" s="12" t="inlineStr">
        <is>
          <t>111167</t>
        </is>
      </c>
      <c r="D64" s="12" t="n">
        <v>3</v>
      </c>
      <c r="E64" s="13" t="inlineStr">
        <is>
          <t>Cơ sở ngành</t>
        </is>
      </c>
      <c r="F64" s="12" t="inlineStr">
        <is>
          <t>II</t>
        </is>
      </c>
      <c r="G64" s="12" t="inlineStr">
        <is>
          <t>2.4</t>
        </is>
      </c>
      <c r="H64" s="13" t="inlineStr">
        <is>
          <t>Hợp tác thông qua công nghệ số</t>
        </is>
      </c>
      <c r="I64" s="12" t="inlineStr">
        <is>
          <t>Mức 3</t>
        </is>
      </c>
      <c r="J64" s="12" t="inlineStr">
        <is>
          <t>CLO5</t>
        </is>
      </c>
      <c r="K64" s="13" t="inlineStr">
        <is>
          <t>Sử dụng kỹ năng trong việc sắp xếp công việc cá nhân hoặc nhóm phù hợp với mục tiêu công việc đề ra</t>
        </is>
      </c>
      <c r="L64" s="12" t="inlineStr">
        <is>
          <t>PI 5.1</t>
        </is>
      </c>
      <c r="M64" s="13" t="inlineStr">
        <is>
          <t>Báo cáo (Rubric)</t>
        </is>
      </c>
      <c r="N64" s="13" t="inlineStr">
        <is>
          <t>Đẩy mạnh sử dụng nền tảng số (GitHub, Jira) để hợp tác và quản lý dự án nhóm.</t>
        </is>
      </c>
    </row>
    <row r="65" ht="52.8" customHeight="1" s="16">
      <c r="A65" s="12" t="n">
        <v>14</v>
      </c>
      <c r="B65" s="13" t="inlineStr">
        <is>
          <t>Cấu trúc dữ liệu và giải thuật</t>
        </is>
      </c>
      <c r="C65" s="12" t="inlineStr">
        <is>
          <t>111167</t>
        </is>
      </c>
      <c r="D65" s="12" t="n">
        <v>3</v>
      </c>
      <c r="E65" s="13" t="inlineStr">
        <is>
          <t>Cơ sở ngành</t>
        </is>
      </c>
      <c r="F65" s="12" t="inlineStr">
        <is>
          <t>V</t>
        </is>
      </c>
      <c r="G65" s="12" t="inlineStr">
        <is>
          <t>5.2</t>
        </is>
      </c>
      <c r="H65" s="13" t="inlineStr">
        <is>
          <t>Xác định nhu cầu và giải pháp công nghệ</t>
        </is>
      </c>
      <c r="I65" s="12" t="inlineStr">
        <is>
          <t>Mức 4</t>
        </is>
      </c>
      <c r="J65" s="12" t="inlineStr">
        <is>
          <t>CLO1</t>
        </is>
      </c>
      <c r="K65" s="13" t="inlineStr">
        <is>
          <t>Giải thích cấu trúc dữ liệu hoặc thuật toán thích hợp để giải quyết vấn đề được yêu cầu</t>
        </is>
      </c>
      <c r="L65" s="12" t="inlineStr">
        <is>
          <t>PI 1.2</t>
        </is>
      </c>
      <c r="M65" s="13" t="inlineStr">
        <is>
          <t>Báo cáo / Thực hành</t>
        </is>
      </c>
      <c r="N65" s="13" t="inlineStr">
        <is>
          <t>Áp dụng phương pháp luận kỹ thuật hiện đại (Agile, CDIO) giải quyết bài toán thực tiễn.</t>
        </is>
      </c>
    </row>
    <row r="66" ht="52.8" customHeight="1" s="16">
      <c r="A66" s="12" t="n">
        <v>15</v>
      </c>
      <c r="B66" s="13" t="inlineStr">
        <is>
          <t>Tín hiệu số cơ bản</t>
        </is>
      </c>
      <c r="C66" s="12" t="inlineStr">
        <is>
          <t>111163</t>
        </is>
      </c>
      <c r="D66" s="12" t="n">
        <v>2</v>
      </c>
      <c r="E66" s="13" t="inlineStr">
        <is>
          <t>Đại cương</t>
        </is>
      </c>
      <c r="F66" s="12" t="inlineStr">
        <is>
          <t>V</t>
        </is>
      </c>
      <c r="G66" s="12" t="inlineStr">
        <is>
          <t>5.2</t>
        </is>
      </c>
      <c r="H66" s="13" t="inlineStr">
        <is>
          <t>Xác định nhu cầu và giải pháp công nghệ</t>
        </is>
      </c>
      <c r="I66" s="12" t="inlineStr">
        <is>
          <t>Mức 3</t>
        </is>
      </c>
      <c r="J66" s="12" t="inlineStr">
        <is>
          <t>CLO1</t>
        </is>
      </c>
      <c r="K66" s="13" t="inlineStr">
        <is>
          <t>Giải thích nguyên lý chuyển đổi tín hiệu tương tự - số (ADC/DAC) và thông số kỹ thuật của vi mạch logic TTL/CMOS.</t>
        </is>
      </c>
      <c r="L66" s="12" t="inlineStr">
        <is>
          <t>PI 1.4</t>
        </is>
      </c>
      <c r="M66" s="13" t="inlineStr">
        <is>
          <t>Trắc nghiệm / Tự luận</t>
        </is>
      </c>
      <c r="N66" s="13" t="inlineStr">
        <is>
          <t>Áp dụng phương pháp luận kỹ thuật hiện đại (Agile, CDIO) giải quyết bài toán thực tiễn.</t>
        </is>
      </c>
    </row>
    <row r="67" ht="52.8" customHeight="1" s="16">
      <c r="A67" s="12" t="n">
        <v>15</v>
      </c>
      <c r="B67" s="13" t="inlineStr">
        <is>
          <t>Tín hiệu số cơ bản</t>
        </is>
      </c>
      <c r="C67" s="12" t="inlineStr">
        <is>
          <t>111163</t>
        </is>
      </c>
      <c r="D67" s="12" t="n">
        <v>2</v>
      </c>
      <c r="E67" s="13" t="inlineStr">
        <is>
          <t>Đại cương</t>
        </is>
      </c>
      <c r="F67" s="12" t="inlineStr">
        <is>
          <t>V</t>
        </is>
      </c>
      <c r="G67" s="12" t="inlineStr">
        <is>
          <t>5.2</t>
        </is>
      </c>
      <c r="H67" s="13" t="inlineStr">
        <is>
          <t>Xác định nhu cầu và giải pháp công nghệ</t>
        </is>
      </c>
      <c r="I67" s="12" t="inlineStr">
        <is>
          <t>Mức 3</t>
        </is>
      </c>
      <c r="J67" s="12" t="inlineStr">
        <is>
          <t>CLO2</t>
        </is>
      </c>
      <c r="K67" s="13" t="inlineStr">
        <is>
          <t>Thiết kế và mô phỏng các mạch số tổ hợp và mạch số tuần tự bằng phần mềm mô phỏng chuyên dụng.</t>
        </is>
      </c>
      <c r="L67" s="12" t="inlineStr">
        <is>
          <t>PI 2.2</t>
        </is>
      </c>
      <c r="M67" s="13" t="inlineStr">
        <is>
          <t>Báo cáo thực hành mô phỏng</t>
        </is>
      </c>
      <c r="N67" s="13" t="inlineStr">
        <is>
          <t>Áp dụng phương pháp luận kỹ thuật hiện đại (Agile, CDIO) giải quyết bài toán thực tiễn.</t>
        </is>
      </c>
    </row>
    <row r="68" ht="52.8" customHeight="1" s="16">
      <c r="A68" s="12" t="n">
        <v>16</v>
      </c>
      <c r="B68" s="13" t="inlineStr">
        <is>
          <t>Cơ sở dữ liệu</t>
        </is>
      </c>
      <c r="C68" s="12" t="inlineStr">
        <is>
          <t>111166</t>
        </is>
      </c>
      <c r="D68" s="12" t="n">
        <v>3</v>
      </c>
      <c r="E68" s="13" t="inlineStr">
        <is>
          <t>Cơ sở ngành</t>
        </is>
      </c>
      <c r="F68" s="12" t="inlineStr">
        <is>
          <t>I</t>
        </is>
      </c>
      <c r="G68" s="12" t="inlineStr">
        <is>
          <t>1.3</t>
        </is>
      </c>
      <c r="H68" s="13" t="inlineStr">
        <is>
          <t>Quản lý dữ liệu, thông tin và nội dung số</t>
        </is>
      </c>
      <c r="I68" s="12" t="inlineStr">
        <is>
          <t>Mức 4</t>
        </is>
      </c>
      <c r="J68" s="12" t="inlineStr">
        <is>
          <t>CLO1</t>
        </is>
      </c>
      <c r="K68" s="13" t="inlineStr">
        <is>
          <t>Thiết kế cơ sở dữ liệu đáp ứng yêu cầu chức năng</t>
        </is>
      </c>
      <c r="L68" s="12" t="inlineStr">
        <is>
          <t>PI 2.5</t>
        </is>
      </c>
      <c r="M68" s="13" t="inlineStr">
        <is>
          <t>Báo cáo (CheckList)</t>
        </is>
      </c>
      <c r="N68" s="13" t="inlineStr">
        <is>
          <t>Ứng dụng các kỹ thuật phân tích và truy xuất dữ liệu lớn phục vụ học tập và nghiên cứu.</t>
        </is>
      </c>
    </row>
    <row r="69" ht="52.8" customHeight="1" s="16">
      <c r="A69" s="12" t="n">
        <v>16</v>
      </c>
      <c r="B69" s="13" t="inlineStr">
        <is>
          <t>Cơ sở dữ liệu</t>
        </is>
      </c>
      <c r="C69" s="12" t="inlineStr">
        <is>
          <t>111166</t>
        </is>
      </c>
      <c r="D69" s="12" t="n">
        <v>3</v>
      </c>
      <c r="E69" s="13" t="inlineStr">
        <is>
          <t>Cơ sở ngành</t>
        </is>
      </c>
      <c r="F69" s="12" t="inlineStr">
        <is>
          <t>I</t>
        </is>
      </c>
      <c r="G69" s="12" t="inlineStr">
        <is>
          <t>1.3</t>
        </is>
      </c>
      <c r="H69" s="13" t="inlineStr">
        <is>
          <t>Quản lý dữ liệu, thông tin và nội dung số</t>
        </is>
      </c>
      <c r="I69" s="12" t="inlineStr">
        <is>
          <t>Mức 3</t>
        </is>
      </c>
      <c r="J69" s="12" t="inlineStr">
        <is>
          <t>CLO2</t>
        </is>
      </c>
      <c r="K69" s="13" t="inlineStr">
        <is>
          <t>Sử dụng được các công cụ đồ họa để trình bày các ý tưởng thiết kế dữ liệu</t>
        </is>
      </c>
      <c r="L69" s="12" t="inlineStr">
        <is>
          <t>PI 3.4</t>
        </is>
      </c>
      <c r="M69" s="13" t="inlineStr">
        <is>
          <t>Báo cáo (CheckList)</t>
        </is>
      </c>
      <c r="N69" s="13" t="inlineStr">
        <is>
          <t>Ứng dụng các kỹ thuật phân tích và truy xuất dữ liệu lớn phục vụ học tập và nghiên cứu.</t>
        </is>
      </c>
    </row>
    <row r="70" ht="52.8" customHeight="1" s="16">
      <c r="A70" s="12" t="n">
        <v>16</v>
      </c>
      <c r="B70" s="13" t="inlineStr">
        <is>
          <t>Cơ sở dữ liệu</t>
        </is>
      </c>
      <c r="C70" s="12" t="inlineStr">
        <is>
          <t>111166</t>
        </is>
      </c>
      <c r="D70" s="12" t="n">
        <v>3</v>
      </c>
      <c r="E70" s="13" t="inlineStr">
        <is>
          <t>Cơ sở ngành</t>
        </is>
      </c>
      <c r="F70" s="12" t="inlineStr">
        <is>
          <t>I</t>
        </is>
      </c>
      <c r="G70" s="12" t="inlineStr">
        <is>
          <t>1.2</t>
        </is>
      </c>
      <c r="H70" s="13" t="inlineStr">
        <is>
          <t>Đánh giá dữ liệu, thông tin và nội dung số</t>
        </is>
      </c>
      <c r="I70" s="12" t="inlineStr">
        <is>
          <t>Mức 3</t>
        </is>
      </c>
      <c r="J70" s="12" t="inlineStr">
        <is>
          <t>CLO3</t>
        </is>
      </c>
      <c r="K70" s="13" t="inlineStr">
        <is>
          <t>Áp dụng ngôn ngữ SQL thực hiện được các truy vấn và kiểm thử dữ liệu theo yêu cầu</t>
        </is>
      </c>
      <c r="L70" s="12" t="inlineStr">
        <is>
          <t>PI 4.1</t>
        </is>
      </c>
      <c r="M70" s="13" t="inlineStr">
        <is>
          <t>Báo cáo (CheckList)</t>
        </is>
      </c>
      <c r="N70" s="13" t="inlineStr">
        <is>
          <t>Ứng dụng các kỹ thuật phân tích và truy xuất dữ liệu lớn phục vụ học tập và nghiên cứu.</t>
        </is>
      </c>
    </row>
    <row r="71" ht="52.8" customHeight="1" s="16">
      <c r="A71" s="12" t="n">
        <v>16</v>
      </c>
      <c r="B71" s="13" t="inlineStr">
        <is>
          <t>Cơ sở dữ liệu</t>
        </is>
      </c>
      <c r="C71" s="12" t="inlineStr">
        <is>
          <t>111166</t>
        </is>
      </c>
      <c r="D71" s="12" t="n">
        <v>3</v>
      </c>
      <c r="E71" s="13" t="inlineStr">
        <is>
          <t>Cơ sở ngành</t>
        </is>
      </c>
      <c r="F71" s="12" t="inlineStr">
        <is>
          <t>I</t>
        </is>
      </c>
      <c r="G71" s="12" t="inlineStr">
        <is>
          <t>1.3</t>
        </is>
      </c>
      <c r="H71" s="13" t="inlineStr">
        <is>
          <t>Quản lý dữ liệu, thông tin và nội dung số</t>
        </is>
      </c>
      <c r="I71" s="12" t="inlineStr">
        <is>
          <t>Mức 4</t>
        </is>
      </c>
      <c r="J71" s="12" t="inlineStr">
        <is>
          <t>CLO4</t>
        </is>
      </c>
      <c r="K71" s="13" t="inlineStr">
        <is>
          <t>Thể hiện được vai trò cá nhân trong nhóm một cách rõ ràng</t>
        </is>
      </c>
      <c r="L71" s="12" t="inlineStr">
        <is>
          <t>PI 5.2</t>
        </is>
      </c>
      <c r="M71" s="13" t="inlineStr">
        <is>
          <t>Báo cáo (CheckList)</t>
        </is>
      </c>
      <c r="N71" s="13" t="inlineStr">
        <is>
          <t>Ứng dụng các kỹ thuật phân tích và truy xuất dữ liệu lớn phục vụ học tập và nghiên cứu.</t>
        </is>
      </c>
    </row>
    <row r="72" ht="52.8" customHeight="1" s="16">
      <c r="A72" s="12" t="n">
        <v>17</v>
      </c>
      <c r="B72" s="13" t="inlineStr">
        <is>
          <t>Mạng máy tính nâng cao</t>
        </is>
      </c>
      <c r="C72" s="12" t="inlineStr">
        <is>
          <t>111165</t>
        </is>
      </c>
      <c r="D72" s="12" t="n">
        <v>3</v>
      </c>
      <c r="E72" s="13" t="inlineStr">
        <is>
          <t>Cơ sở ngành</t>
        </is>
      </c>
      <c r="F72" s="12" t="inlineStr">
        <is>
          <t>V</t>
        </is>
      </c>
      <c r="G72" s="12" t="inlineStr">
        <is>
          <t>5.2</t>
        </is>
      </c>
      <c r="H72" s="13" t="inlineStr">
        <is>
          <t>Xác định nhu cầu và giải pháp công nghệ</t>
        </is>
      </c>
      <c r="I72" s="12" t="inlineStr">
        <is>
          <t>Mức 4</t>
        </is>
      </c>
      <c r="J72" s="12" t="inlineStr">
        <is>
          <t>CLO1</t>
        </is>
      </c>
      <c r="K72" s="13" t="inlineStr">
        <is>
          <t>Thiết kế hệ thống mạng đáp ứng yêu cầu đặt ra.</t>
        </is>
      </c>
      <c r="L72" s="12" t="inlineStr">
        <is>
          <t>PI 2.2</t>
        </is>
      </c>
      <c r="M72" s="13" t="inlineStr">
        <is>
          <t>Performance Test (Checklist)</t>
        </is>
      </c>
      <c r="N72" s="13" t="inlineStr">
        <is>
          <t>Áp dụng phương pháp luận kỹ thuật hiện đại (Agile, CDIO) giải quyết bài toán thực tiễn.</t>
        </is>
      </c>
    </row>
    <row r="73" ht="52.8" customHeight="1" s="16">
      <c r="A73" s="12" t="n">
        <v>17</v>
      </c>
      <c r="B73" s="13" t="inlineStr">
        <is>
          <t>Mạng máy tính nâng cao</t>
        </is>
      </c>
      <c r="C73" s="12" t="inlineStr">
        <is>
          <t>111165</t>
        </is>
      </c>
      <c r="D73" s="12" t="n">
        <v>3</v>
      </c>
      <c r="E73" s="13" t="inlineStr">
        <is>
          <t>Cơ sở ngành</t>
        </is>
      </c>
      <c r="F73" s="12" t="inlineStr">
        <is>
          <t>IV</t>
        </is>
      </c>
      <c r="G73" s="12" t="inlineStr">
        <is>
          <t>4.1</t>
        </is>
      </c>
      <c r="H73" s="13" t="inlineStr">
        <is>
          <t>Bảo vệ thiết bị</t>
        </is>
      </c>
      <c r="I73" s="12" t="inlineStr">
        <is>
          <t>Mức 4</t>
        </is>
      </c>
      <c r="J73" s="12" t="inlineStr">
        <is>
          <t>CLO2</t>
        </is>
      </c>
      <c r="K73" s="13" t="inlineStr">
        <is>
          <t>Cấu hình hệ thống mạng đáp ứng yêu cầu đặt ra.</t>
        </is>
      </c>
      <c r="L73" s="12" t="inlineStr">
        <is>
          <t>PI 2.2</t>
        </is>
      </c>
      <c r="M73" s="13" t="inlineStr">
        <is>
          <t>Performance Test (Checklist)</t>
        </is>
      </c>
      <c r="N73" s="13" t="inlineStr">
        <is>
          <t>Tăng cường nhận thức bảo mật, cấu hình an toàn hệ thống và bảo vệ dữ liệu người dùng.</t>
        </is>
      </c>
    </row>
    <row r="74" ht="52.8" customHeight="1" s="16">
      <c r="A74" s="12" t="n">
        <v>17</v>
      </c>
      <c r="B74" s="13" t="inlineStr">
        <is>
          <t>Mạng máy tính nâng cao</t>
        </is>
      </c>
      <c r="C74" s="12" t="inlineStr">
        <is>
          <t>111165</t>
        </is>
      </c>
      <c r="D74" s="12" t="n">
        <v>3</v>
      </c>
      <c r="E74" s="13" t="inlineStr">
        <is>
          <t>Cơ sở ngành</t>
        </is>
      </c>
      <c r="F74" s="12" t="inlineStr">
        <is>
          <t>III</t>
        </is>
      </c>
      <c r="G74" s="12" t="inlineStr">
        <is>
          <t>3.1</t>
        </is>
      </c>
      <c r="H74" s="13" t="inlineStr">
        <is>
          <t>Phát triển nội dung số</t>
        </is>
      </c>
      <c r="I74" s="12" t="inlineStr">
        <is>
          <t>Mức 3</t>
        </is>
      </c>
      <c r="J74" s="12" t="inlineStr">
        <is>
          <t>CLO3</t>
        </is>
      </c>
      <c r="K74" s="13" t="inlineStr">
        <is>
          <t>Sử dụng được các công cụ đồ họa để trình bày các ý tưởng thiết kế dữ liệu</t>
        </is>
      </c>
      <c r="L74" s="12" t="inlineStr">
        <is>
          <t>PI 3.4</t>
        </is>
      </c>
      <c r="M74" s="13" t="inlineStr">
        <is>
          <t>Báo cáo (Rubric)</t>
        </is>
      </c>
      <c r="N74" s="13" t="inlineStr">
        <is>
          <t>Rèn luyện tư duy lập trình tối ưu, chuẩn Clean Code và tuân thủ bản quyền phần mềm.</t>
        </is>
      </c>
    </row>
    <row r="75" ht="39.6" customHeight="1" s="16">
      <c r="A75" s="12" t="n">
        <v>17</v>
      </c>
      <c r="B75" s="13" t="inlineStr">
        <is>
          <t>Mạng máy tính nâng cao</t>
        </is>
      </c>
      <c r="C75" s="12" t="inlineStr">
        <is>
          <t>111165</t>
        </is>
      </c>
      <c r="D75" s="12" t="n">
        <v>3</v>
      </c>
      <c r="E75" s="13" t="inlineStr">
        <is>
          <t>Cơ sở ngành</t>
        </is>
      </c>
      <c r="F75" s="12" t="inlineStr">
        <is>
          <t>II</t>
        </is>
      </c>
      <c r="G75" s="12" t="inlineStr">
        <is>
          <t>2.4</t>
        </is>
      </c>
      <c r="H75" s="13" t="inlineStr">
        <is>
          <t>Hợp tác thông qua công nghệ số</t>
        </is>
      </c>
      <c r="I75" s="12" t="inlineStr">
        <is>
          <t>Mức 4</t>
        </is>
      </c>
      <c r="J75" s="12" t="inlineStr">
        <is>
          <t>CLO4</t>
        </is>
      </c>
      <c r="K75" s="13" t="inlineStr">
        <is>
          <t>Thể hiện được vai trò cá nhân trong nhóm một cách rõ ràng</t>
        </is>
      </c>
      <c r="L75" s="12" t="inlineStr">
        <is>
          <t>PI 5.2</t>
        </is>
      </c>
      <c r="M75" s="13" t="inlineStr">
        <is>
          <t>Báo cáo (Rubric)</t>
        </is>
      </c>
      <c r="N75" s="13" t="inlineStr">
        <is>
          <t>Đẩy mạnh sử dụng nền tảng số (GitHub, Jira) để hợp tác và quản lý dự án nhóm.</t>
        </is>
      </c>
    </row>
    <row r="76" ht="52.8" customHeight="1" s="16">
      <c r="A76" s="12" t="n">
        <v>18</v>
      </c>
      <c r="B76" s="13" t="inlineStr">
        <is>
          <t>Dịch vụ mạng</t>
        </is>
      </c>
      <c r="C76" s="12" t="inlineStr">
        <is>
          <t>111175</t>
        </is>
      </c>
      <c r="D76" s="12" t="n">
        <v>3</v>
      </c>
      <c r="E76" s="13" t="inlineStr">
        <is>
          <t>Cơ sở ngành</t>
        </is>
      </c>
      <c r="F76" s="12" t="inlineStr">
        <is>
          <t>V</t>
        </is>
      </c>
      <c r="G76" s="12" t="inlineStr">
        <is>
          <t>5.2</t>
        </is>
      </c>
      <c r="H76" s="13" t="inlineStr">
        <is>
          <t>Xác định nhu cầu và giải pháp công nghệ</t>
        </is>
      </c>
      <c r="I76" s="12" t="inlineStr">
        <is>
          <t>Mức 4</t>
        </is>
      </c>
      <c r="J76" s="12" t="inlineStr">
        <is>
          <t>CLO1</t>
        </is>
      </c>
      <c r="K76" s="13" t="inlineStr">
        <is>
          <t>Mô hình hóa hệ thống mạng cho các phương án đề ra bằng các công cụ hiện đại</t>
        </is>
      </c>
      <c r="L76" s="12" t="inlineStr">
        <is>
          <t>PI 1.4</t>
        </is>
      </c>
      <c r="M76" s="13" t="inlineStr">
        <is>
          <t>Performance Test (Checklist)</t>
        </is>
      </c>
      <c r="N76" s="13" t="inlineStr">
        <is>
          <t>Áp dụng phương pháp luận kỹ thuật hiện đại (Agile, CDIO) giải quyết bài toán thực tiễn.</t>
        </is>
      </c>
    </row>
    <row r="77" ht="52.8" customHeight="1" s="16">
      <c r="A77" s="12" t="n">
        <v>18</v>
      </c>
      <c r="B77" s="13" t="inlineStr">
        <is>
          <t>Dịch vụ mạng</t>
        </is>
      </c>
      <c r="C77" s="12" t="inlineStr">
        <is>
          <t>111175</t>
        </is>
      </c>
      <c r="D77" s="12" t="n">
        <v>3</v>
      </c>
      <c r="E77" s="13" t="inlineStr">
        <is>
          <t>Cơ sở ngành</t>
        </is>
      </c>
      <c r="F77" s="12" t="inlineStr">
        <is>
          <t>V</t>
        </is>
      </c>
      <c r="G77" s="12" t="inlineStr">
        <is>
          <t>5.2</t>
        </is>
      </c>
      <c r="H77" s="13" t="inlineStr">
        <is>
          <t>Xác định nhu cầu và giải pháp công nghệ</t>
        </is>
      </c>
      <c r="I77" s="12" t="inlineStr">
        <is>
          <t>Mức 4</t>
        </is>
      </c>
      <c r="J77" s="12" t="inlineStr">
        <is>
          <t>CLO2</t>
        </is>
      </c>
      <c r="K77" s="13" t="inlineStr">
        <is>
          <t>Thiết kế (cầu hình) hệ thống mạng đáp ứng yêu cầu đặt ra.</t>
        </is>
      </c>
      <c r="L77" s="12" t="inlineStr">
        <is>
          <t>PI 2.2</t>
        </is>
      </c>
      <c r="M77" s="13" t="inlineStr">
        <is>
          <t>Performance Test (Checklist)</t>
        </is>
      </c>
      <c r="N77" s="13" t="inlineStr">
        <is>
          <t>Áp dụng phương pháp luận kỹ thuật hiện đại (Agile, CDIO) giải quyết bài toán thực tiễn.</t>
        </is>
      </c>
    </row>
    <row r="78" ht="52.8" customHeight="1" s="16">
      <c r="A78" s="12" t="n">
        <v>18</v>
      </c>
      <c r="B78" s="13" t="inlineStr">
        <is>
          <t>Dịch vụ mạng</t>
        </is>
      </c>
      <c r="C78" s="12" t="inlineStr">
        <is>
          <t>111175</t>
        </is>
      </c>
      <c r="D78" s="12" t="n">
        <v>3</v>
      </c>
      <c r="E78" s="13" t="inlineStr">
        <is>
          <t>Cơ sở ngành</t>
        </is>
      </c>
      <c r="F78" s="12" t="inlineStr">
        <is>
          <t>I</t>
        </is>
      </c>
      <c r="G78" s="12" t="inlineStr">
        <is>
          <t>1.1</t>
        </is>
      </c>
      <c r="H78" s="13" t="inlineStr">
        <is>
          <t>Duyệt, tìm kiếm và lọc dữ liệu, thông tin và nội dung số</t>
        </is>
      </c>
      <c r="I78" s="12" t="inlineStr">
        <is>
          <t>Mức 3</t>
        </is>
      </c>
      <c r="J78" s="12" t="inlineStr">
        <is>
          <t>CLO3</t>
        </is>
      </c>
      <c r="K78" s="13" t="inlineStr">
        <is>
          <t>Biết cách tìm kiếm và chọn lựa tài liệu sử dụng phù hợp để giải quyết các vấn đề đặt ra</t>
        </is>
      </c>
      <c r="L78" s="12" t="inlineStr">
        <is>
          <t>PI 3.3</t>
        </is>
      </c>
      <c r="M78" s="13" t="inlineStr">
        <is>
          <t>Báo cáo (Rubric)</t>
        </is>
      </c>
      <c r="N78" s="13" t="inlineStr">
        <is>
          <t>Ứng dụng các kỹ thuật phân tích và truy xuất dữ liệu lớn phục vụ học tập và nghiên cứu.</t>
        </is>
      </c>
    </row>
    <row r="79" ht="39.6" customHeight="1" s="16">
      <c r="A79" s="12" t="n">
        <v>18</v>
      </c>
      <c r="B79" s="13" t="inlineStr">
        <is>
          <t>Dịch vụ mạng</t>
        </is>
      </c>
      <c r="C79" s="12" t="inlineStr">
        <is>
          <t>111175</t>
        </is>
      </c>
      <c r="D79" s="12" t="n">
        <v>3</v>
      </c>
      <c r="E79" s="13" t="inlineStr">
        <is>
          <t>Cơ sở ngành</t>
        </is>
      </c>
      <c r="F79" s="12" t="inlineStr">
        <is>
          <t>II</t>
        </is>
      </c>
      <c r="G79" s="12" t="inlineStr">
        <is>
          <t>2.4</t>
        </is>
      </c>
      <c r="H79" s="13" t="inlineStr">
        <is>
          <t>Hợp tác thông qua công nghệ số</t>
        </is>
      </c>
      <c r="I79" s="12" t="inlineStr">
        <is>
          <t>Mức 4</t>
        </is>
      </c>
      <c r="J79" s="12" t="inlineStr">
        <is>
          <t>CLO4</t>
        </is>
      </c>
      <c r="K79" s="13" t="inlineStr">
        <is>
          <t>Thể hiện được vai trò cá nhân trong nhóm một cách rõ ràng</t>
        </is>
      </c>
      <c r="L79" s="12" t="inlineStr">
        <is>
          <t>PI 5.2</t>
        </is>
      </c>
      <c r="M79" s="13" t="inlineStr">
        <is>
          <t>Báo cáo (Rubric)</t>
        </is>
      </c>
      <c r="N79" s="13" t="inlineStr">
        <is>
          <t>Đẩy mạnh sử dụng nền tảng số (GitHub, Jira) để hợp tác và quản lý dự án nhóm.</t>
        </is>
      </c>
    </row>
    <row r="80" ht="52.8" customHeight="1" s="16">
      <c r="A80" s="12" t="n">
        <v>19</v>
      </c>
      <c r="B80" s="13" t="inlineStr">
        <is>
          <t>Lập trình hướng đối tượng</t>
        </is>
      </c>
      <c r="C80" s="12" t="inlineStr">
        <is>
          <t>111172</t>
        </is>
      </c>
      <c r="D80" s="12" t="n">
        <v>3</v>
      </c>
      <c r="E80" s="13" t="inlineStr">
        <is>
          <t>Cơ sở ngành</t>
        </is>
      </c>
      <c r="F80" s="12" t="inlineStr">
        <is>
          <t>III</t>
        </is>
      </c>
      <c r="G80" s="12" t="inlineStr">
        <is>
          <t>3.4</t>
        </is>
      </c>
      <c r="H80" s="13" t="inlineStr">
        <is>
          <t>Lập trình</t>
        </is>
      </c>
      <c r="I80" s="12" t="inlineStr">
        <is>
          <t>Mức 3</t>
        </is>
      </c>
      <c r="J80" s="12" t="inlineStr">
        <is>
          <t>CLO1</t>
        </is>
      </c>
      <c r="K80" s="13" t="inlineStr">
        <is>
          <t>Áp dụng ngôn ngữ lập trình để hiện thực các thuật toán đề ra</t>
        </is>
      </c>
      <c r="L80" s="12" t="inlineStr">
        <is>
          <t>PI 1.3</t>
        </is>
      </c>
      <c r="M80" s="13" t="inlineStr">
        <is>
          <t>report (Making Guide)</t>
        </is>
      </c>
      <c r="N80" s="13" t="inlineStr">
        <is>
          <t>Rèn luyện tư duy lập trình tối ưu, chuẩn Clean Code và tuân thủ bản quyền phần mềm.</t>
        </is>
      </c>
    </row>
    <row r="81" ht="52.8" customHeight="1" s="16">
      <c r="A81" s="12" t="n">
        <v>19</v>
      </c>
      <c r="B81" s="13" t="inlineStr">
        <is>
          <t>Lập trình hướng đối tượng</t>
        </is>
      </c>
      <c r="C81" s="12" t="inlineStr">
        <is>
          <t>111172</t>
        </is>
      </c>
      <c r="D81" s="12" t="n">
        <v>3</v>
      </c>
      <c r="E81" s="13" t="inlineStr">
        <is>
          <t>Cơ sở ngành</t>
        </is>
      </c>
      <c r="F81" s="12" t="inlineStr">
        <is>
          <t>III</t>
        </is>
      </c>
      <c r="G81" s="12" t="inlineStr">
        <is>
          <t>3.1</t>
        </is>
      </c>
      <c r="H81" s="13" t="inlineStr">
        <is>
          <t>Phát triển nội dung số</t>
        </is>
      </c>
      <c r="I81" s="12" t="inlineStr">
        <is>
          <t>Mức 3</t>
        </is>
      </c>
      <c r="J81" s="12" t="inlineStr">
        <is>
          <t>CLO2</t>
        </is>
      </c>
      <c r="K81" s="13" t="inlineStr">
        <is>
          <t>Sử dụng được các công cụ đồ họa để trình bày các ý tưởng thiết kế dữ liệu</t>
        </is>
      </c>
      <c r="L81" s="12" t="inlineStr">
        <is>
          <t>PI 3.4</t>
        </is>
      </c>
      <c r="M81" s="13" t="inlineStr">
        <is>
          <t>report (Making Guide)</t>
        </is>
      </c>
      <c r="N81" s="13" t="inlineStr">
        <is>
          <t>Rèn luyện tư duy lập trình tối ưu, chuẩn Clean Code và tuân thủ bản quyền phần mềm.</t>
        </is>
      </c>
    </row>
    <row r="82" ht="39.6" customHeight="1" s="16">
      <c r="A82" s="12" t="n">
        <v>19</v>
      </c>
      <c r="B82" s="13" t="inlineStr">
        <is>
          <t>Lập trình hướng đối tượng</t>
        </is>
      </c>
      <c r="C82" s="12" t="inlineStr">
        <is>
          <t>111172</t>
        </is>
      </c>
      <c r="D82" s="12" t="n">
        <v>3</v>
      </c>
      <c r="E82" s="13" t="inlineStr">
        <is>
          <t>Cơ sở ngành</t>
        </is>
      </c>
      <c r="F82" s="12" t="inlineStr">
        <is>
          <t>VI</t>
        </is>
      </c>
      <c r="G82" s="12" t="inlineStr">
        <is>
          <t>6.2</t>
        </is>
      </c>
      <c r="H82" s="13" t="inlineStr">
        <is>
          <t>Sử dụng AI có đạo đức và trách nhiệm</t>
        </is>
      </c>
      <c r="I82" s="12" t="inlineStr">
        <is>
          <t>Mức 4</t>
        </is>
      </c>
      <c r="J82" s="12" t="inlineStr">
        <is>
          <t>CLO3</t>
        </is>
      </c>
      <c r="K82" s="13" t="inlineStr">
        <is>
          <t>Thể hiện được vai trò cá nhân trong nhóm một cách rõ ràng</t>
        </is>
      </c>
      <c r="L82" s="12" t="inlineStr">
        <is>
          <t>PI 5.2</t>
        </is>
      </c>
      <c r="M82" s="13" t="inlineStr">
        <is>
          <t>report (Making Guide)</t>
        </is>
      </c>
      <c r="N82" s="13" t="inlineStr">
        <is>
          <t>Tích hợp xu hướng Vibe Coding và khai thác trợ lý AI có trách nhiệm, chuẩn mực.</t>
        </is>
      </c>
    </row>
    <row r="83" ht="52.8" customHeight="1" s="16">
      <c r="A83" s="12" t="n">
        <v>20</v>
      </c>
      <c r="B83" s="13" t="inlineStr">
        <is>
          <t>Hệ quản trị CSDL</t>
        </is>
      </c>
      <c r="C83" s="12" t="inlineStr">
        <is>
          <t>111170</t>
        </is>
      </c>
      <c r="D83" s="12" t="n">
        <v>3</v>
      </c>
      <c r="E83" s="13" t="inlineStr">
        <is>
          <t>Cơ sở ngành</t>
        </is>
      </c>
      <c r="F83" s="12" t="inlineStr">
        <is>
          <t>I</t>
        </is>
      </c>
      <c r="G83" s="12" t="inlineStr">
        <is>
          <t>1.3</t>
        </is>
      </c>
      <c r="H83" s="13" t="inlineStr">
        <is>
          <t>Quản lý dữ liệu, thông tin và nội dung số</t>
        </is>
      </c>
      <c r="I83" s="12" t="inlineStr">
        <is>
          <t>Mức 3</t>
        </is>
      </c>
      <c r="J83" s="12" t="inlineStr">
        <is>
          <t>CLO2</t>
        </is>
      </c>
      <c r="K83" s="13" t="inlineStr">
        <is>
          <t>Sử dụng được các công cụ đồ họa để trình bày các ý tưởng thiết kế dữ liệu</t>
        </is>
      </c>
      <c r="L83" s="12" t="inlineStr">
        <is>
          <t>PI 3.4</t>
        </is>
      </c>
      <c r="M83" s="13" t="inlineStr">
        <is>
          <t>Báo cáo / Thực hành</t>
        </is>
      </c>
      <c r="N83" s="13" t="inlineStr">
        <is>
          <t>Ứng dụng các kỹ thuật phân tích và truy xuất dữ liệu lớn phục vụ học tập và nghiên cứu.</t>
        </is>
      </c>
    </row>
    <row r="84" ht="52.8" customHeight="1" s="16">
      <c r="A84" s="12" t="n">
        <v>20</v>
      </c>
      <c r="B84" s="13" t="inlineStr">
        <is>
          <t>Hệ quản trị CSDL</t>
        </is>
      </c>
      <c r="C84" s="12" t="inlineStr">
        <is>
          <t>111170</t>
        </is>
      </c>
      <c r="D84" s="12" t="n">
        <v>3</v>
      </c>
      <c r="E84" s="13" t="inlineStr">
        <is>
          <t>Cơ sở ngành</t>
        </is>
      </c>
      <c r="F84" s="12" t="inlineStr">
        <is>
          <t>I</t>
        </is>
      </c>
      <c r="G84" s="12" t="inlineStr">
        <is>
          <t>1.3</t>
        </is>
      </c>
      <c r="H84" s="13" t="inlineStr">
        <is>
          <t>Quản lý dữ liệu, thông tin và nội dung số</t>
        </is>
      </c>
      <c r="I84" s="12" t="inlineStr">
        <is>
          <t>Mức 4</t>
        </is>
      </c>
      <c r="J84" s="12" t="inlineStr">
        <is>
          <t>CLO4</t>
        </is>
      </c>
      <c r="K84" s="13" t="inlineStr">
        <is>
          <t>Thể hiện được vai trò cá nhân trong nhóm một cách rõ ràng</t>
        </is>
      </c>
      <c r="L84" s="12" t="inlineStr">
        <is>
          <t>PI 5.2</t>
        </is>
      </c>
      <c r="M84" s="13" t="inlineStr">
        <is>
          <t>Báo cáo / Thực hành</t>
        </is>
      </c>
      <c r="N84" s="13" t="inlineStr">
        <is>
          <t>Ứng dụng các kỹ thuật phân tích và truy xuất dữ liệu lớn phục vụ học tập và nghiên cứu.</t>
        </is>
      </c>
    </row>
    <row r="85" ht="52.8" customHeight="1" s="16">
      <c r="A85" s="12" t="n">
        <v>20</v>
      </c>
      <c r="B85" s="13" t="inlineStr">
        <is>
          <t>Hệ quản trị CSDL</t>
        </is>
      </c>
      <c r="C85" s="12" t="inlineStr">
        <is>
          <t>111170</t>
        </is>
      </c>
      <c r="D85" s="12" t="n">
        <v>3</v>
      </c>
      <c r="E85" s="13" t="inlineStr">
        <is>
          <t>Cơ sở ngành</t>
        </is>
      </c>
      <c r="F85" s="12" t="inlineStr">
        <is>
          <t>I</t>
        </is>
      </c>
      <c r="G85" s="12" t="inlineStr">
        <is>
          <t>1.3</t>
        </is>
      </c>
      <c r="H85" s="13" t="inlineStr">
        <is>
          <t>Quản lý dữ liệu, thông tin và nội dung số</t>
        </is>
      </c>
      <c r="I85" s="12" t="inlineStr">
        <is>
          <t>Mức 3</t>
        </is>
      </c>
      <c r="J85" s="12" t="inlineStr">
        <is>
          <t>CLO1</t>
        </is>
      </c>
      <c r="K85" s="13" t="inlineStr">
        <is>
          <t>Áp dụng ngôn ngữ SQL để thiết kế cơ sở dữ liệu đáp ứng yêu cầu quản lý hệ thống thông tin</t>
        </is>
      </c>
      <c r="L85" s="12" t="inlineStr">
        <is>
          <t>PI 2.5</t>
        </is>
      </c>
      <c r="M85" s="13" t="inlineStr">
        <is>
          <t>Performance Test (CheckList)</t>
        </is>
      </c>
      <c r="N85" s="13" t="inlineStr">
        <is>
          <t>Ứng dụng các kỹ thuật phân tích và truy xuất dữ liệu lớn phục vụ học tập và nghiên cứu.</t>
        </is>
      </c>
    </row>
    <row r="86" ht="52.8" customHeight="1" s="16">
      <c r="A86" s="12" t="n">
        <v>20</v>
      </c>
      <c r="B86" s="13" t="inlineStr">
        <is>
          <t>Hệ quản trị CSDL</t>
        </is>
      </c>
      <c r="C86" s="12" t="inlineStr">
        <is>
          <t>111170</t>
        </is>
      </c>
      <c r="D86" s="12" t="n">
        <v>3</v>
      </c>
      <c r="E86" s="13" t="inlineStr">
        <is>
          <t>Cơ sở ngành</t>
        </is>
      </c>
      <c r="F86" s="12" t="inlineStr">
        <is>
          <t>I</t>
        </is>
      </c>
      <c r="G86" s="12" t="inlineStr">
        <is>
          <t>1.3</t>
        </is>
      </c>
      <c r="H86" s="13" t="inlineStr">
        <is>
          <t>Quản lý dữ liệu, thông tin và nội dung số</t>
        </is>
      </c>
      <c r="I86" s="12" t="inlineStr">
        <is>
          <t>Mức 4</t>
        </is>
      </c>
      <c r="J86" s="12" t="inlineStr">
        <is>
          <t>CLO3</t>
        </is>
      </c>
      <c r="K86" s="13" t="inlineStr">
        <is>
          <t>Phân tích và giải thích kết quả thực hiện truy vấn để tối ưu hóa câu lệnh</t>
        </is>
      </c>
      <c r="L86" s="12" t="inlineStr">
        <is>
          <t>PI 4.3</t>
        </is>
      </c>
      <c r="M86" s="13" t="inlineStr">
        <is>
          <t>Performance Test (CheckList)</t>
        </is>
      </c>
      <c r="N86" s="13" t="inlineStr">
        <is>
          <t>Ứng dụng các kỹ thuật phân tích và truy xuất dữ liệu lớn phục vụ học tập và nghiên cứu.</t>
        </is>
      </c>
    </row>
    <row r="87" ht="52.8" customHeight="1" s="16">
      <c r="A87" s="12" t="n">
        <v>21</v>
      </c>
      <c r="B87" s="13" t="inlineStr">
        <is>
          <t>Lập trình Front-End</t>
        </is>
      </c>
      <c r="C87" s="12" t="inlineStr">
        <is>
          <t>111171</t>
        </is>
      </c>
      <c r="D87" s="12" t="n">
        <v>3</v>
      </c>
      <c r="E87" s="13" t="inlineStr">
        <is>
          <t>Cơ sở ngành</t>
        </is>
      </c>
      <c r="F87" s="12" t="inlineStr">
        <is>
          <t>III</t>
        </is>
      </c>
      <c r="G87" s="12" t="inlineStr">
        <is>
          <t>3.1</t>
        </is>
      </c>
      <c r="H87" s="13" t="inlineStr">
        <is>
          <t>Phát triển nội dung số</t>
        </is>
      </c>
      <c r="I87" s="12" t="inlineStr">
        <is>
          <t>Mức 4</t>
        </is>
      </c>
      <c r="J87" s="12" t="inlineStr">
        <is>
          <t>CLO1</t>
        </is>
      </c>
      <c r="K87" s="13" t="inlineStr">
        <is>
          <t>Mô hình hóa (wireframe) các phương án đề ra bằng các công cụ hiện đại</t>
        </is>
      </c>
      <c r="L87" s="12" t="inlineStr">
        <is>
          <t>PI 1.4</t>
        </is>
      </c>
      <c r="M87" s="13" t="inlineStr">
        <is>
          <t>Report (Check list)</t>
        </is>
      </c>
      <c r="N87" s="13" t="inlineStr">
        <is>
          <t>Rèn luyện tư duy lập trình tối ưu, chuẩn Clean Code và tuân thủ bản quyền phần mềm.</t>
        </is>
      </c>
    </row>
    <row r="88" ht="52.8" customHeight="1" s="16">
      <c r="A88" s="12" t="n">
        <v>21</v>
      </c>
      <c r="B88" s="13" t="inlineStr">
        <is>
          <t>Lập trình Front-End</t>
        </is>
      </c>
      <c r="C88" s="12" t="inlineStr">
        <is>
          <t>111171</t>
        </is>
      </c>
      <c r="D88" s="12" t="n">
        <v>3</v>
      </c>
      <c r="E88" s="13" t="inlineStr">
        <is>
          <t>Cơ sở ngành</t>
        </is>
      </c>
      <c r="F88" s="12" t="inlineStr">
        <is>
          <t>III</t>
        </is>
      </c>
      <c r="G88" s="12" t="inlineStr">
        <is>
          <t>3.1</t>
        </is>
      </c>
      <c r="H88" s="13" t="inlineStr">
        <is>
          <t>Phát triển nội dung số</t>
        </is>
      </c>
      <c r="I88" s="12" t="inlineStr">
        <is>
          <t>Mức 3</t>
        </is>
      </c>
      <c r="J88" s="12" t="inlineStr">
        <is>
          <t>CLO2</t>
        </is>
      </c>
      <c r="K88" s="13" t="inlineStr">
        <is>
          <t>Áp dụng kiến thức  về HTML, CSS, JavaSript để xây dựng giao diện đáp ứng yêu cầu</t>
        </is>
      </c>
      <c r="L88" s="12" t="inlineStr">
        <is>
          <t>PI 2.3</t>
        </is>
      </c>
      <c r="M88" s="13" t="inlineStr">
        <is>
          <t>Report (Check list)</t>
        </is>
      </c>
      <c r="N88" s="13" t="inlineStr">
        <is>
          <t>Rèn luyện tư duy lập trình tối ưu, chuẩn Clean Code và tuân thủ bản quyền phần mềm.</t>
        </is>
      </c>
    </row>
    <row r="89" ht="39.6" customHeight="1" s="16">
      <c r="A89" s="12" t="n">
        <v>21</v>
      </c>
      <c r="B89" s="13" t="inlineStr">
        <is>
          <t>Lập trình Front-End</t>
        </is>
      </c>
      <c r="C89" s="12" t="inlineStr">
        <is>
          <t>111171</t>
        </is>
      </c>
      <c r="D89" s="12" t="n">
        <v>3</v>
      </c>
      <c r="E89" s="13" t="inlineStr">
        <is>
          <t>Cơ sở ngành</t>
        </is>
      </c>
      <c r="F89" s="12" t="inlineStr">
        <is>
          <t>II</t>
        </is>
      </c>
      <c r="G89" s="12" t="inlineStr">
        <is>
          <t>2.2</t>
        </is>
      </c>
      <c r="H89" s="13" t="inlineStr">
        <is>
          <t>Chia sẻ thông tin và nội dung thông qua công nghệ số</t>
        </is>
      </c>
      <c r="I89" s="12" t="inlineStr">
        <is>
          <t>Mức 4</t>
        </is>
      </c>
      <c r="J89" s="12" t="inlineStr">
        <is>
          <t>CLO3</t>
        </is>
      </c>
      <c r="K89" s="13" t="inlineStr">
        <is>
          <t>Viết báo cáo trình bày nội dung các công việc đã thực hiện bằng văn bản một cách hợp lý và đúng quy định về định đạng</t>
        </is>
      </c>
      <c r="L89" s="12" t="inlineStr">
        <is>
          <t>PI 3.1</t>
        </is>
      </c>
      <c r="M89" s="13" t="inlineStr">
        <is>
          <t>Report (Check list)</t>
        </is>
      </c>
      <c r="N89" s="13" t="inlineStr">
        <is>
          <t>Đẩy mạnh sử dụng nền tảng số (GitHub, Jira) để hợp tác và quản lý dự án nhóm.</t>
        </is>
      </c>
    </row>
    <row r="90" ht="39.6" customHeight="1" s="16">
      <c r="A90" s="12" t="n">
        <v>21</v>
      </c>
      <c r="B90" s="13" t="inlineStr">
        <is>
          <t>Lập trình Front-End</t>
        </is>
      </c>
      <c r="C90" s="12" t="inlineStr">
        <is>
          <t>111171</t>
        </is>
      </c>
      <c r="D90" s="12" t="n">
        <v>3</v>
      </c>
      <c r="E90" s="13" t="inlineStr">
        <is>
          <t>Cơ sở ngành</t>
        </is>
      </c>
      <c r="F90" s="12" t="inlineStr">
        <is>
          <t>II</t>
        </is>
      </c>
      <c r="G90" s="12" t="inlineStr">
        <is>
          <t>2.4</t>
        </is>
      </c>
      <c r="H90" s="13" t="inlineStr">
        <is>
          <t>Hợp tác thông qua công nghệ số</t>
        </is>
      </c>
      <c r="I90" s="12" t="inlineStr">
        <is>
          <t>Mức 3</t>
        </is>
      </c>
      <c r="J90" s="12" t="inlineStr">
        <is>
          <t>CLO4</t>
        </is>
      </c>
      <c r="K90" s="13" t="inlineStr">
        <is>
          <t>Sử dụng kỹ năng trong việc sắp xếp công việc cá nhân hoặc nhóm phù hợp với mục tiêu công việc đề ra</t>
        </is>
      </c>
      <c r="L90" s="12" t="inlineStr">
        <is>
          <t>PI 5.1</t>
        </is>
      </c>
      <c r="M90" s="13" t="inlineStr">
        <is>
          <t>Report (Check list)</t>
        </is>
      </c>
      <c r="N90" s="13" t="inlineStr">
        <is>
          <t>Đẩy mạnh sử dụng nền tảng số (GitHub, Jira) để hợp tác và quản lý dự án nhóm.</t>
        </is>
      </c>
    </row>
    <row r="91" ht="39.6" customHeight="1" s="16">
      <c r="A91" s="12" t="n">
        <v>22</v>
      </c>
      <c r="B91" s="13" t="inlineStr">
        <is>
          <t>Kiến tập</t>
        </is>
      </c>
      <c r="C91" s="12" t="inlineStr">
        <is>
          <t>111173</t>
        </is>
      </c>
      <c r="D91" s="12" t="n">
        <v>3</v>
      </c>
      <c r="E91" s="13" t="inlineStr">
        <is>
          <t>Cơ sở ngành</t>
        </is>
      </c>
      <c r="F91" s="12" t="inlineStr">
        <is>
          <t>II</t>
        </is>
      </c>
      <c r="G91" s="12" t="inlineStr">
        <is>
          <t>2.2</t>
        </is>
      </c>
      <c r="H91" s="13" t="inlineStr">
        <is>
          <t>Chia sẻ thông tin và nội dung thông qua công nghệ số</t>
        </is>
      </c>
      <c r="I91" s="12" t="inlineStr">
        <is>
          <t>Mức 4</t>
        </is>
      </c>
      <c r="J91" s="12" t="inlineStr">
        <is>
          <t>CLO1</t>
        </is>
      </c>
      <c r="K91" s="13" t="inlineStr">
        <is>
          <t>Viết báo cáo trình bày nội dung các công việc đã thực hiện bằng văn bản một cách hợp lý và đúng quy định về định đạng</t>
        </is>
      </c>
      <c r="L91" s="12" t="inlineStr">
        <is>
          <t>PI 3.1</t>
        </is>
      </c>
      <c r="M91" s="13" t="inlineStr">
        <is>
          <t>Report (Check list)</t>
        </is>
      </c>
      <c r="N91" s="13" t="inlineStr">
        <is>
          <t>Đẩy mạnh sử dụng nền tảng số (GitHub, Jira) để hợp tác và quản lý dự án nhóm.</t>
        </is>
      </c>
    </row>
    <row r="92" ht="52.8" customHeight="1" s="16">
      <c r="A92" s="12" t="n">
        <v>23</v>
      </c>
      <c r="B92" s="13" t="inlineStr">
        <is>
          <t>Thiết kế hệ thống mạng</t>
        </is>
      </c>
      <c r="C92" s="12" t="inlineStr">
        <is>
          <t>111183</t>
        </is>
      </c>
      <c r="D92" s="12" t="n">
        <v>3</v>
      </c>
      <c r="E92" s="13" t="inlineStr">
        <is>
          <t>Chuyên ngành</t>
        </is>
      </c>
      <c r="F92" s="12" t="inlineStr">
        <is>
          <t>V</t>
        </is>
      </c>
      <c r="G92" s="12" t="inlineStr">
        <is>
          <t>5.2</t>
        </is>
      </c>
      <c r="H92" s="13" t="inlineStr">
        <is>
          <t>Xác định nhu cầu và giải pháp công nghệ</t>
        </is>
      </c>
      <c r="I92" s="12" t="inlineStr">
        <is>
          <t>Mức 5</t>
        </is>
      </c>
      <c r="J92" s="12" t="inlineStr">
        <is>
          <t>CLO1</t>
        </is>
      </c>
      <c r="K92" s="13" t="inlineStr">
        <is>
          <t>Thiết kế hệ thống mạng (thiết bị trung gian) đáp ứng yêu cầu đặt ra</t>
        </is>
      </c>
      <c r="L92" s="12" t="inlineStr">
        <is>
          <t>PI 2.2</t>
        </is>
      </c>
      <c r="M92" s="13" t="inlineStr">
        <is>
          <t>Performance Test (Checklist)</t>
        </is>
      </c>
      <c r="N92" s="13" t="inlineStr">
        <is>
          <t>Áp dụng phương pháp luận kỹ thuật hiện đại (Agile, CDIO) giải quyết bài toán thực tiễn.</t>
        </is>
      </c>
    </row>
    <row r="93" ht="52.8" customHeight="1" s="16">
      <c r="A93" s="12" t="n">
        <v>23</v>
      </c>
      <c r="B93" s="13" t="inlineStr">
        <is>
          <t>Thiết kế hệ thống mạng</t>
        </is>
      </c>
      <c r="C93" s="12" t="inlineStr">
        <is>
          <t>111183</t>
        </is>
      </c>
      <c r="D93" s="12" t="n">
        <v>3</v>
      </c>
      <c r="E93" s="13" t="inlineStr">
        <is>
          <t>Chuyên ngành</t>
        </is>
      </c>
      <c r="F93" s="12" t="inlineStr">
        <is>
          <t>IV</t>
        </is>
      </c>
      <c r="G93" s="12" t="inlineStr">
        <is>
          <t>4.1</t>
        </is>
      </c>
      <c r="H93" s="13" t="inlineStr">
        <is>
          <t>Bảo vệ thiết bị</t>
        </is>
      </c>
      <c r="I93" s="12" t="inlineStr">
        <is>
          <t>Mức 5</t>
        </is>
      </c>
      <c r="J93" s="12" t="inlineStr">
        <is>
          <t>CLO2</t>
        </is>
      </c>
      <c r="K93" s="13" t="inlineStr">
        <is>
          <t>Thực hiện cấu hình hệ thống mạng (NAT, WLAN, Routing...) đáp ứng yêu cầu đặt ra</t>
        </is>
      </c>
      <c r="L93" s="12" t="inlineStr">
        <is>
          <t>PI 2.2</t>
        </is>
      </c>
      <c r="M93" s="13" t="inlineStr">
        <is>
          <t>Performance Test (Checklist)</t>
        </is>
      </c>
      <c r="N93" s="13" t="inlineStr">
        <is>
          <t>Tăng cường nhận thức bảo mật, cấu hình an toàn hệ thống và bảo vệ dữ liệu người dùng.</t>
        </is>
      </c>
    </row>
    <row r="94" ht="52.8" customHeight="1" s="16">
      <c r="A94" s="12" t="n">
        <v>23</v>
      </c>
      <c r="B94" s="13" t="inlineStr">
        <is>
          <t>Thiết kế hệ thống mạng</t>
        </is>
      </c>
      <c r="C94" s="12" t="inlineStr">
        <is>
          <t>111183</t>
        </is>
      </c>
      <c r="D94" s="12" t="n">
        <v>3</v>
      </c>
      <c r="E94" s="13" t="inlineStr">
        <is>
          <t>Chuyên ngành</t>
        </is>
      </c>
      <c r="F94" s="12" t="inlineStr">
        <is>
          <t>III</t>
        </is>
      </c>
      <c r="G94" s="12" t="inlineStr">
        <is>
          <t>3.1</t>
        </is>
      </c>
      <c r="H94" s="13" t="inlineStr">
        <is>
          <t>Phát triển nội dung số</t>
        </is>
      </c>
      <c r="I94" s="12" t="inlineStr">
        <is>
          <t>Mức 4</t>
        </is>
      </c>
      <c r="J94" s="12" t="inlineStr">
        <is>
          <t>CLO3</t>
        </is>
      </c>
      <c r="K94" s="13" t="inlineStr">
        <is>
          <t>Sử dụng được các công cụ đồ họa để trình bày các ý tưởng thiết kế dữ liệu</t>
        </is>
      </c>
      <c r="L94" s="12" t="inlineStr">
        <is>
          <t>PI 3.4</t>
        </is>
      </c>
      <c r="M94" s="13" t="inlineStr">
        <is>
          <t>Performance Test (Checklist)</t>
        </is>
      </c>
      <c r="N94" s="13" t="inlineStr">
        <is>
          <t>Rèn luyện tư duy lập trình tối ưu, chuẩn Clean Code và tuân thủ bản quyền phần mềm.</t>
        </is>
      </c>
    </row>
    <row r="95" ht="39.6" customHeight="1" s="16">
      <c r="A95" s="12" t="n">
        <v>23</v>
      </c>
      <c r="B95" s="13" t="inlineStr">
        <is>
          <t>Thiết kế hệ thống mạng</t>
        </is>
      </c>
      <c r="C95" s="12" t="inlineStr">
        <is>
          <t>111183</t>
        </is>
      </c>
      <c r="D95" s="12" t="n">
        <v>3</v>
      </c>
      <c r="E95" s="13" t="inlineStr">
        <is>
          <t>Chuyên ngành</t>
        </is>
      </c>
      <c r="F95" s="12" t="inlineStr">
        <is>
          <t>II</t>
        </is>
      </c>
      <c r="G95" s="12" t="inlineStr">
        <is>
          <t>2.4</t>
        </is>
      </c>
      <c r="H95" s="13" t="inlineStr">
        <is>
          <t>Hợp tác thông qua công nghệ số</t>
        </is>
      </c>
      <c r="I95" s="12" t="inlineStr">
        <is>
          <t>Mức 4</t>
        </is>
      </c>
      <c r="J95" s="12" t="inlineStr">
        <is>
          <t>CLO4</t>
        </is>
      </c>
      <c r="K95" s="13" t="inlineStr">
        <is>
          <t>Thể hiện được vai trò cá nhân trong nhóm một cách rõ ràng</t>
        </is>
      </c>
      <c r="L95" s="12" t="inlineStr">
        <is>
          <t>PI 5.2</t>
        </is>
      </c>
      <c r="M95" s="13" t="inlineStr">
        <is>
          <t>Report (Rubirc)</t>
        </is>
      </c>
      <c r="N95" s="13" t="inlineStr">
        <is>
          <t>Đẩy mạnh sử dụng nền tảng số (GitHub, Jira) để hợp tác và quản lý dự án nhóm.</t>
        </is>
      </c>
    </row>
    <row r="96" ht="52.8" customHeight="1" s="16">
      <c r="A96" s="12" t="n">
        <v>24</v>
      </c>
      <c r="B96" s="13" t="inlineStr">
        <is>
          <t>Lập trình Back-End</t>
        </is>
      </c>
      <c r="C96" s="12" t="inlineStr">
        <is>
          <t>111176</t>
        </is>
      </c>
      <c r="D96" s="12" t="n">
        <v>3</v>
      </c>
      <c r="E96" s="13" t="inlineStr">
        <is>
          <t>Cơ sở ngành</t>
        </is>
      </c>
      <c r="F96" s="12" t="inlineStr">
        <is>
          <t>V</t>
        </is>
      </c>
      <c r="G96" s="12" t="inlineStr">
        <is>
          <t>5.2</t>
        </is>
      </c>
      <c r="H96" s="13" t="inlineStr">
        <is>
          <t>Xác định nhu cầu và giải pháp công nghệ</t>
        </is>
      </c>
      <c r="I96" s="12" t="inlineStr">
        <is>
          <t>Mức 4</t>
        </is>
      </c>
      <c r="J96" s="12" t="inlineStr">
        <is>
          <t>CLO1</t>
        </is>
      </c>
      <c r="K96" s="13" t="inlineStr">
        <is>
          <t>Mô hình hóa các phương án đề ra bằng các công cụ hiện đại</t>
        </is>
      </c>
      <c r="L96" s="12" t="inlineStr">
        <is>
          <t>PI 1.4</t>
        </is>
      </c>
      <c r="M96" s="13" t="inlineStr">
        <is>
          <t>Report (Check list)</t>
        </is>
      </c>
      <c r="N96" s="13" t="inlineStr">
        <is>
          <t>Áp dụng phương pháp luận kỹ thuật hiện đại (Agile, CDIO) giải quyết bài toán thực tiễn.</t>
        </is>
      </c>
    </row>
    <row r="97" ht="52.8" customHeight="1" s="16">
      <c r="A97" s="12" t="n">
        <v>24</v>
      </c>
      <c r="B97" s="13" t="inlineStr">
        <is>
          <t>Lập trình Back-End</t>
        </is>
      </c>
      <c r="C97" s="12" t="inlineStr">
        <is>
          <t>111176</t>
        </is>
      </c>
      <c r="D97" s="12" t="n">
        <v>3</v>
      </c>
      <c r="E97" s="13" t="inlineStr">
        <is>
          <t>Cơ sở ngành</t>
        </is>
      </c>
      <c r="F97" s="12" t="inlineStr">
        <is>
          <t>V</t>
        </is>
      </c>
      <c r="G97" s="12" t="inlineStr">
        <is>
          <t>5.2</t>
        </is>
      </c>
      <c r="H97" s="13" t="inlineStr">
        <is>
          <t>Xác định nhu cầu và giải pháp công nghệ</t>
        </is>
      </c>
      <c r="I97" s="12" t="inlineStr">
        <is>
          <t>Mức 3</t>
        </is>
      </c>
      <c r="J97" s="12" t="inlineStr">
        <is>
          <t>CLO2</t>
        </is>
      </c>
      <c r="K97" s="13" t="inlineStr">
        <is>
          <t>Thu thập được thông tin (platform, yêu cầu của người dùng, cấu trúc dữ liệu) để xác định các yêu cầu chức năng của hệ thống</t>
        </is>
      </c>
      <c r="L97" s="12" t="inlineStr">
        <is>
          <t>PI 2.1</t>
        </is>
      </c>
      <c r="M97" s="13" t="inlineStr">
        <is>
          <t>Report (Check list)</t>
        </is>
      </c>
      <c r="N97" s="13" t="inlineStr">
        <is>
          <t>Áp dụng phương pháp luận kỹ thuật hiện đại (Agile, CDIO) giải quyết bài toán thực tiễn.</t>
        </is>
      </c>
    </row>
    <row r="98" ht="52.8" customHeight="1" s="16">
      <c r="A98" s="12" t="n">
        <v>24</v>
      </c>
      <c r="B98" s="13" t="inlineStr">
        <is>
          <t>Lập trình Back-End</t>
        </is>
      </c>
      <c r="C98" s="12" t="inlineStr">
        <is>
          <t>111176</t>
        </is>
      </c>
      <c r="D98" s="12" t="n">
        <v>3</v>
      </c>
      <c r="E98" s="13" t="inlineStr">
        <is>
          <t>Cơ sở ngành</t>
        </is>
      </c>
      <c r="F98" s="12" t="inlineStr">
        <is>
          <t>III</t>
        </is>
      </c>
      <c r="G98" s="12" t="inlineStr">
        <is>
          <t>3.4</t>
        </is>
      </c>
      <c r="H98" s="13" t="inlineStr">
        <is>
          <t>Lập trình</t>
        </is>
      </c>
      <c r="I98" s="12" t="inlineStr">
        <is>
          <t>Mức 4</t>
        </is>
      </c>
      <c r="J98" s="12" t="inlineStr">
        <is>
          <t>CLO3</t>
        </is>
      </c>
      <c r="K98" s="13" t="inlineStr">
        <is>
          <t>Phân tích các thành phần chức năng của hệ thống (back-end) đáp ứng yêu cầu thực hiện từ giao diện (front-end) hệ thống đã xác định</t>
        </is>
      </c>
      <c r="L98" s="12" t="inlineStr">
        <is>
          <t>PI 2.4</t>
        </is>
      </c>
      <c r="M98" s="13" t="inlineStr">
        <is>
          <t>Report (Check list)</t>
        </is>
      </c>
      <c r="N98" s="13" t="inlineStr">
        <is>
          <t>Rèn luyện tư duy lập trình tối ưu, chuẩn Clean Code và tuân thủ bản quyền phần mềm.</t>
        </is>
      </c>
    </row>
    <row r="99" ht="39.6" customHeight="1" s="16">
      <c r="A99" s="12" t="n">
        <v>24</v>
      </c>
      <c r="B99" s="13" t="inlineStr">
        <is>
          <t>Lập trình Back-End</t>
        </is>
      </c>
      <c r="C99" s="12" t="inlineStr">
        <is>
          <t>111176</t>
        </is>
      </c>
      <c r="D99" s="12" t="n">
        <v>3</v>
      </c>
      <c r="E99" s="13" t="inlineStr">
        <is>
          <t>Cơ sở ngành</t>
        </is>
      </c>
      <c r="F99" s="12" t="inlineStr">
        <is>
          <t>II</t>
        </is>
      </c>
      <c r="G99" s="12" t="inlineStr">
        <is>
          <t>2.2</t>
        </is>
      </c>
      <c r="H99" s="13" t="inlineStr">
        <is>
          <t>Chia sẻ thông tin và nội dung thông qua công nghệ số</t>
        </is>
      </c>
      <c r="I99" s="12" t="inlineStr">
        <is>
          <t>Mức 4</t>
        </is>
      </c>
      <c r="J99" s="12" t="inlineStr">
        <is>
          <t>CLO4</t>
        </is>
      </c>
      <c r="K99" s="13" t="inlineStr">
        <is>
          <t>Viết báo cáo trình bày nội dung các công việc đã thực hiện bằng văn bản một cách hợp lý và đúng quy định về định đạng</t>
        </is>
      </c>
      <c r="L99" s="12" t="inlineStr">
        <is>
          <t>PI 3.1</t>
        </is>
      </c>
      <c r="M99" s="13" t="inlineStr">
        <is>
          <t>Report (Check list)</t>
        </is>
      </c>
      <c r="N99" s="13" t="inlineStr">
        <is>
          <t>Đẩy mạnh sử dụng nền tảng số (GitHub, Jira) để hợp tác và quản lý dự án nhóm.</t>
        </is>
      </c>
    </row>
    <row r="100" ht="39.6" customHeight="1" s="16">
      <c r="A100" s="12" t="n">
        <v>24</v>
      </c>
      <c r="B100" s="13" t="inlineStr">
        <is>
          <t>Lập trình Back-End</t>
        </is>
      </c>
      <c r="C100" s="12" t="inlineStr">
        <is>
          <t>111176</t>
        </is>
      </c>
      <c r="D100" s="12" t="n">
        <v>3</v>
      </c>
      <c r="E100" s="13" t="inlineStr">
        <is>
          <t>Cơ sở ngành</t>
        </is>
      </c>
      <c r="F100" s="12" t="inlineStr">
        <is>
          <t>II</t>
        </is>
      </c>
      <c r="G100" s="12" t="inlineStr">
        <is>
          <t>2.4</t>
        </is>
      </c>
      <c r="H100" s="13" t="inlineStr">
        <is>
          <t>Hợp tác thông qua công nghệ số</t>
        </is>
      </c>
      <c r="I100" s="12" t="inlineStr">
        <is>
          <t>Mức 3</t>
        </is>
      </c>
      <c r="J100" s="12" t="inlineStr">
        <is>
          <t>CLO5</t>
        </is>
      </c>
      <c r="K100" s="13" t="inlineStr">
        <is>
          <t>Sử dụng kỹ năng trong việc sắp xếp công việc cá nhân hoặc nhóm phù hợp với mục tiêu công việc đề ra</t>
        </is>
      </c>
      <c r="L100" s="12" t="inlineStr">
        <is>
          <t>PI 5.1</t>
        </is>
      </c>
      <c r="M100" s="13" t="inlineStr">
        <is>
          <t>Report (Check list)</t>
        </is>
      </c>
      <c r="N100" s="13" t="inlineStr">
        <is>
          <t>Đẩy mạnh sử dụng nền tảng số (GitHub, Jira) để hợp tác và quản lý dự án nhóm.</t>
        </is>
      </c>
    </row>
    <row r="101" ht="52.8" customHeight="1" s="16">
      <c r="A101" s="12" t="n">
        <v>25</v>
      </c>
      <c r="B101" s="13" t="inlineStr">
        <is>
          <t>Trực quan hóa dữ liệu và Báo cáo thông minh</t>
        </is>
      </c>
      <c r="C101" s="12" t="inlineStr">
        <is>
          <t>111212</t>
        </is>
      </c>
      <c r="D101" s="12" t="n">
        <v>3</v>
      </c>
      <c r="E101" s="13" t="inlineStr">
        <is>
          <t>Cơ sở ngành</t>
        </is>
      </c>
      <c r="F101" s="12" t="inlineStr">
        <is>
          <t>I</t>
        </is>
      </c>
      <c r="G101" s="12" t="inlineStr">
        <is>
          <t>1.1</t>
        </is>
      </c>
      <c r="H101" s="13" t="inlineStr">
        <is>
          <t>Duyệt, tìm kiếm và lọc dữ liệu, thông tin và nội dung số</t>
        </is>
      </c>
      <c r="I101" s="12" t="inlineStr">
        <is>
          <t>Mức 3</t>
        </is>
      </c>
      <c r="J101" s="12" t="inlineStr">
        <is>
          <t>CLO1</t>
        </is>
      </c>
      <c r="K101" s="13" t="inlineStr">
        <is>
          <t>Thu thập, làm sạch và mô hình hóa dữ liệu đa chiều phục vụ hệ thống báo cáo thông minh (Business Intelligence).</t>
        </is>
      </c>
      <c r="L101" s="12" t="inlineStr">
        <is>
          <t>PI 2.5</t>
        </is>
      </c>
      <c r="M101" s="13" t="inlineStr">
        <is>
          <t>Thực hành trên máy</t>
        </is>
      </c>
      <c r="N101" s="13" t="inlineStr">
        <is>
          <t>Ứng dụng các kỹ thuật phân tích và truy xuất dữ liệu lớn phục vụ học tập và nghiên cứu.</t>
        </is>
      </c>
    </row>
    <row r="102" ht="52.8" customHeight="1" s="16">
      <c r="A102" s="12" t="n">
        <v>25</v>
      </c>
      <c r="B102" s="13" t="inlineStr">
        <is>
          <t>Trực quan hóa dữ liệu và Báo cáo thông minh</t>
        </is>
      </c>
      <c r="C102" s="12" t="inlineStr">
        <is>
          <t>111212</t>
        </is>
      </c>
      <c r="D102" s="12" t="n">
        <v>3</v>
      </c>
      <c r="E102" s="13" t="inlineStr">
        <is>
          <t>Cơ sở ngành</t>
        </is>
      </c>
      <c r="F102" s="12" t="inlineStr">
        <is>
          <t>III</t>
        </is>
      </c>
      <c r="G102" s="12" t="inlineStr">
        <is>
          <t>3.1</t>
        </is>
      </c>
      <c r="H102" s="13" t="inlineStr">
        <is>
          <t>Phát triển nội dung số</t>
        </is>
      </c>
      <c r="I102" s="12" t="inlineStr">
        <is>
          <t>Mức 4</t>
        </is>
      </c>
      <c r="J102" s="12" t="inlineStr">
        <is>
          <t>CLO2</t>
        </is>
      </c>
      <c r="K102" s="13" t="inlineStr">
        <is>
          <t>Thiết kế Dashboard tương tác và trực quan hóa dữ liệu theo nguyên lý Gestalt bằng Power BI / Tableau.</t>
        </is>
      </c>
      <c r="L102" s="12" t="inlineStr">
        <is>
          <t>PI 3.4</t>
        </is>
      </c>
      <c r="M102" s="13" t="inlineStr">
        <is>
          <t>Đồ án môn học / Báo cáo</t>
        </is>
      </c>
      <c r="N102" s="13" t="inlineStr">
        <is>
          <t>Rèn luyện tư duy lập trình tối ưu, chuẩn Clean Code và tuân thủ bản quyền phần mềm.</t>
        </is>
      </c>
    </row>
    <row r="103" ht="52.8" customHeight="1" s="16">
      <c r="A103" s="12" t="n">
        <v>25</v>
      </c>
      <c r="B103" s="13" t="inlineStr">
        <is>
          <t>Trực quan hóa dữ liệu và Báo cáo thông minh</t>
        </is>
      </c>
      <c r="C103" s="12" t="inlineStr">
        <is>
          <t>111212</t>
        </is>
      </c>
      <c r="D103" s="12" t="n">
        <v>3</v>
      </c>
      <c r="E103" s="13" t="inlineStr">
        <is>
          <t>Cơ sở ngành</t>
        </is>
      </c>
      <c r="F103" s="12" t="inlineStr">
        <is>
          <t>I</t>
        </is>
      </c>
      <c r="G103" s="12" t="inlineStr">
        <is>
          <t>1.3</t>
        </is>
      </c>
      <c r="H103" s="13" t="inlineStr">
        <is>
          <t>Quản lý dữ liệu, thông tin và nội dung số</t>
        </is>
      </c>
      <c r="I103" s="12" t="inlineStr">
        <is>
          <t>Mức 4</t>
        </is>
      </c>
      <c r="J103" s="12" t="inlineStr">
        <is>
          <t>CLO3</t>
        </is>
      </c>
      <c r="K103" s="13" t="inlineStr">
        <is>
          <t>Phân tích và truyền đạt thông điệp (Data Storytelling) từ các báo cáo số liệu hỗ trợ ra quyết định kinh doanh.</t>
        </is>
      </c>
      <c r="L103" s="12" t="inlineStr">
        <is>
          <t>PI 4.3</t>
        </is>
      </c>
      <c r="M103" s="13" t="inlineStr">
        <is>
          <t>Thuyết trình báo cáo</t>
        </is>
      </c>
      <c r="N103" s="13" t="inlineStr">
        <is>
          <t>Ứng dụng các kỹ thuật phân tích và truy xuất dữ liệu lớn phục vụ học tập và nghiên cứu.</t>
        </is>
      </c>
    </row>
    <row r="104" ht="39.6" customHeight="1" s="16">
      <c r="A104" s="12" t="n">
        <v>26</v>
      </c>
      <c r="B104" s="13" t="inlineStr">
        <is>
          <t>Khai phá dữ liệu và Học máy cơ bản</t>
        </is>
      </c>
      <c r="C104" s="12" t="inlineStr">
        <is>
          <t>111211</t>
        </is>
      </c>
      <c r="D104" s="12" t="n">
        <v>3</v>
      </c>
      <c r="E104" s="13" t="inlineStr">
        <is>
          <t>Cơ sở ngành</t>
        </is>
      </c>
      <c r="F104" s="12" t="inlineStr">
        <is>
          <t>VI</t>
        </is>
      </c>
      <c r="G104" s="12" t="inlineStr">
        <is>
          <t>6.1</t>
        </is>
      </c>
      <c r="H104" s="13" t="inlineStr">
        <is>
          <t>Hiểu biết về AI (trong đó có GenAI)</t>
        </is>
      </c>
      <c r="I104" s="12" t="inlineStr">
        <is>
          <t>Mức 3</t>
        </is>
      </c>
      <c r="J104" s="12" t="inlineStr">
        <is>
          <t>CLO1</t>
        </is>
      </c>
      <c r="K104" s="13" t="inlineStr">
        <is>
          <t>Áp dụng vững chắc các kỹ thuật khai phá dữ liệu và nguyên lý hoạt động của các thuật toán học máy phổ biến</t>
        </is>
      </c>
      <c r="L104" s="12" t="inlineStr">
        <is>
          <t>PI 1.1</t>
        </is>
      </c>
      <c r="M104" s="13" t="inlineStr">
        <is>
          <t>report (Making Guide)</t>
        </is>
      </c>
      <c r="N104" s="13" t="inlineStr">
        <is>
          <t>Tích hợp xu hướng Vibe Coding và khai thác trợ lý AI có trách nhiệm, chuẩn mực.</t>
        </is>
      </c>
    </row>
    <row r="105" ht="39.6" customHeight="1" s="16">
      <c r="A105" s="12" t="n">
        <v>26</v>
      </c>
      <c r="B105" s="13" t="inlineStr">
        <is>
          <t>Khai phá dữ liệu và Học máy cơ bản</t>
        </is>
      </c>
      <c r="C105" s="12" t="inlineStr">
        <is>
          <t>111211</t>
        </is>
      </c>
      <c r="D105" s="12" t="n">
        <v>3</v>
      </c>
      <c r="E105" s="13" t="inlineStr">
        <is>
          <t>Cơ sở ngành</t>
        </is>
      </c>
      <c r="F105" s="12" t="inlineStr">
        <is>
          <t>VI</t>
        </is>
      </c>
      <c r="G105" s="12" t="inlineStr">
        <is>
          <t>6.1</t>
        </is>
      </c>
      <c r="H105" s="13" t="inlineStr">
        <is>
          <t>Hiểu biết về AI (trong đó có GenAI)</t>
        </is>
      </c>
      <c r="I105" s="12" t="inlineStr">
        <is>
          <t>Mức 3</t>
        </is>
      </c>
      <c r="J105" s="12" t="inlineStr">
        <is>
          <t>CLO2</t>
        </is>
      </c>
      <c r="K105" s="13" t="inlineStr">
        <is>
          <t>Sử dụng các ngôn ngữ lập trình (Python/R) hoặc công cụ chuyên dụng để thực hiện tiền xử lý và xây dựng mô hình dự báo trên tập dữ liệu thực thực tế</t>
        </is>
      </c>
      <c r="L105" s="12" t="inlineStr">
        <is>
          <t>PI 1.3</t>
        </is>
      </c>
      <c r="M105" s="13" t="inlineStr">
        <is>
          <t>report (Making Guide)</t>
        </is>
      </c>
      <c r="N105" s="13" t="inlineStr">
        <is>
          <t>Tích hợp xu hướng Vibe Coding và khai thác trợ lý AI có trách nhiệm, chuẩn mực.</t>
        </is>
      </c>
    </row>
    <row r="106" ht="39.6" customHeight="1" s="16">
      <c r="A106" s="12" t="n">
        <v>26</v>
      </c>
      <c r="B106" s="13" t="inlineStr">
        <is>
          <t>Khai phá dữ liệu và Học máy cơ bản</t>
        </is>
      </c>
      <c r="C106" s="12" t="inlineStr">
        <is>
          <t>111211</t>
        </is>
      </c>
      <c r="D106" s="12" t="n">
        <v>3</v>
      </c>
      <c r="E106" s="13" t="inlineStr">
        <is>
          <t>Cơ sở ngành</t>
        </is>
      </c>
      <c r="F106" s="12" t="inlineStr">
        <is>
          <t>VI</t>
        </is>
      </c>
      <c r="G106" s="12" t="inlineStr">
        <is>
          <t>6.1</t>
        </is>
      </c>
      <c r="H106" s="13" t="inlineStr">
        <is>
          <t>Hiểu biết về AI (trong đó có GenAI)</t>
        </is>
      </c>
      <c r="I106" s="12" t="inlineStr">
        <is>
          <t>Mức 4</t>
        </is>
      </c>
      <c r="J106" s="12" t="inlineStr">
        <is>
          <t>CLO3</t>
        </is>
      </c>
      <c r="K106" s="13" t="inlineStr">
        <is>
          <t>Đánh giá vấn đề và đưa ra được các kết luận chuyên môn về độ chính xác của mô hình và đề xuất phương án cải thiện</t>
        </is>
      </c>
      <c r="L106" s="12" t="inlineStr">
        <is>
          <t>PI 4.2</t>
        </is>
      </c>
      <c r="M106" s="13" t="inlineStr">
        <is>
          <t>report (Making Guide)</t>
        </is>
      </c>
      <c r="N106" s="13" t="inlineStr">
        <is>
          <t>Tích hợp xu hướng Vibe Coding và khai thác trợ lý AI có trách nhiệm, chuẩn mực.</t>
        </is>
      </c>
    </row>
    <row r="107" ht="39.6" customHeight="1" s="16">
      <c r="A107" s="12" t="n">
        <v>26</v>
      </c>
      <c r="B107" s="13" t="inlineStr">
        <is>
          <t>Khai phá dữ liệu và Học máy cơ bản</t>
        </is>
      </c>
      <c r="C107" s="12" t="inlineStr">
        <is>
          <t>111211</t>
        </is>
      </c>
      <c r="D107" s="12" t="n">
        <v>3</v>
      </c>
      <c r="E107" s="13" t="inlineStr">
        <is>
          <t>Cơ sở ngành</t>
        </is>
      </c>
      <c r="F107" s="12" t="inlineStr">
        <is>
          <t>VI</t>
        </is>
      </c>
      <c r="G107" s="12" t="inlineStr">
        <is>
          <t>6.2</t>
        </is>
      </c>
      <c r="H107" s="13" t="inlineStr">
        <is>
          <t>Sử dụng AI có đạo đức và trách nhiệm</t>
        </is>
      </c>
      <c r="I107" s="12" t="inlineStr">
        <is>
          <t>Mức 3</t>
        </is>
      </c>
      <c r="J107" s="12" t="inlineStr">
        <is>
          <t>CLO4</t>
        </is>
      </c>
      <c r="K107" s="13" t="inlineStr">
        <is>
          <t>Lập kế hoạch, phân công và áp dụng kỹ thuật quản lý dự án đơn giản để phát triển website trong môi trường nhóm nhỏ</t>
        </is>
      </c>
      <c r="L107" s="12" t="inlineStr">
        <is>
          <t>PI 5.3</t>
        </is>
      </c>
      <c r="M107" s="13" t="inlineStr">
        <is>
          <t>report (Making Guide)</t>
        </is>
      </c>
      <c r="N107" s="13" t="inlineStr">
        <is>
          <t>Tích hợp xu hướng Vibe Coding và khai thác trợ lý AI có trách nhiệm, chuẩn mực.</t>
        </is>
      </c>
    </row>
    <row r="108" ht="52.8" customHeight="1" s="16">
      <c r="A108" s="12" t="n">
        <v>27</v>
      </c>
      <c r="B108" s="13" t="inlineStr">
        <is>
          <t>Phân tích thiết kế hệ thống hướng quan hệ</t>
        </is>
      </c>
      <c r="C108" s="12" t="inlineStr">
        <is>
          <t>111179</t>
        </is>
      </c>
      <c r="D108" s="12" t="n">
        <v>3</v>
      </c>
      <c r="E108" s="13" t="inlineStr">
        <is>
          <t>Cơ sở ngành</t>
        </is>
      </c>
      <c r="F108" s="12" t="inlineStr">
        <is>
          <t>V</t>
        </is>
      </c>
      <c r="G108" s="12" t="inlineStr">
        <is>
          <t>5.2</t>
        </is>
      </c>
      <c r="H108" s="13" t="inlineStr">
        <is>
          <t>Xác định nhu cầu và giải pháp công nghệ</t>
        </is>
      </c>
      <c r="I108" s="12" t="inlineStr">
        <is>
          <t>Mức 3</t>
        </is>
      </c>
      <c r="J108" s="12" t="inlineStr">
        <is>
          <t>CLO1</t>
        </is>
      </c>
      <c r="K108" s="13" t="inlineStr">
        <is>
          <t>Áp dụng công cụ mô hình hóa (UML) để thiết kế hệ thống thông tin</t>
        </is>
      </c>
      <c r="L108" s="12" t="inlineStr">
        <is>
          <t>PI 1.4</t>
        </is>
      </c>
      <c r="M108" s="13" t="inlineStr">
        <is>
          <t>Report</t>
        </is>
      </c>
      <c r="N108" s="13" t="inlineStr">
        <is>
          <t>Áp dụng phương pháp luận kỹ thuật hiện đại (Agile, CDIO) giải quyết bài toán thực tiễn.</t>
        </is>
      </c>
    </row>
    <row r="109" ht="52.8" customHeight="1" s="16">
      <c r="A109" s="12" t="n">
        <v>27</v>
      </c>
      <c r="B109" s="13" t="inlineStr">
        <is>
          <t>Phân tích thiết kế hệ thống hướng quan hệ</t>
        </is>
      </c>
      <c r="C109" s="12" t="inlineStr">
        <is>
          <t>111179</t>
        </is>
      </c>
      <c r="D109" s="12" t="n">
        <v>3</v>
      </c>
      <c r="E109" s="13" t="inlineStr">
        <is>
          <t>Cơ sở ngành</t>
        </is>
      </c>
      <c r="F109" s="12" t="inlineStr">
        <is>
          <t>V</t>
        </is>
      </c>
      <c r="G109" s="12" t="inlineStr">
        <is>
          <t>5.2</t>
        </is>
      </c>
      <c r="H109" s="13" t="inlineStr">
        <is>
          <t>Xác định nhu cầu và giải pháp công nghệ</t>
        </is>
      </c>
      <c r="I109" s="12" t="inlineStr">
        <is>
          <t>Mức 3</t>
        </is>
      </c>
      <c r="J109" s="12" t="inlineStr">
        <is>
          <t>CLO2</t>
        </is>
      </c>
      <c r="K109" s="13" t="inlineStr">
        <is>
          <t>Ấp dụng các kỹ thuật thu thập thông tin (phỏng vấn, bảng câu hỏi, đọc tài liệu,...) để xác định các yêu cầu cho hệ thống thông tin</t>
        </is>
      </c>
      <c r="L109" s="12" t="inlineStr">
        <is>
          <t>PI 2.1</t>
        </is>
      </c>
      <c r="M109" s="13" t="inlineStr">
        <is>
          <t>Report</t>
        </is>
      </c>
      <c r="N109" s="13" t="inlineStr">
        <is>
          <t>Áp dụng phương pháp luận kỹ thuật hiện đại (Agile, CDIO) giải quyết bài toán thực tiễn.</t>
        </is>
      </c>
    </row>
    <row r="110" ht="52.8" customHeight="1" s="16">
      <c r="A110" s="12" t="n">
        <v>27</v>
      </c>
      <c r="B110" s="13" t="inlineStr">
        <is>
          <t>Phân tích thiết kế hệ thống hướng quan hệ</t>
        </is>
      </c>
      <c r="C110" s="12" t="inlineStr">
        <is>
          <t>111179</t>
        </is>
      </c>
      <c r="D110" s="12" t="n">
        <v>3</v>
      </c>
      <c r="E110" s="13" t="inlineStr">
        <is>
          <t>Cơ sở ngành</t>
        </is>
      </c>
      <c r="F110" s="12" t="inlineStr">
        <is>
          <t>I</t>
        </is>
      </c>
      <c r="G110" s="12" t="inlineStr">
        <is>
          <t>1.3</t>
        </is>
      </c>
      <c r="H110" s="13" t="inlineStr">
        <is>
          <t>Quản lý dữ liệu, thông tin và nội dung số</t>
        </is>
      </c>
      <c r="I110" s="12" t="inlineStr">
        <is>
          <t>Mức 4</t>
        </is>
      </c>
      <c r="J110" s="12" t="inlineStr">
        <is>
          <t>CLO3</t>
        </is>
      </c>
      <c r="K110" s="13" t="inlineStr">
        <is>
          <t>Thiết kế cơ sở dữ liệu cho hệ thống thông tin từ những mô hình phân tích được</t>
        </is>
      </c>
      <c r="L110" s="12" t="inlineStr">
        <is>
          <t>PI 2.5</t>
        </is>
      </c>
      <c r="M110" s="13" t="inlineStr">
        <is>
          <t>Report</t>
        </is>
      </c>
      <c r="N110" s="13" t="inlineStr">
        <is>
          <t>Ứng dụng các kỹ thuật phân tích và truy xuất dữ liệu lớn phục vụ học tập và nghiên cứu.</t>
        </is>
      </c>
    </row>
    <row r="111" ht="52.8" customHeight="1" s="16">
      <c r="A111" s="12" t="n">
        <v>27</v>
      </c>
      <c r="B111" s="13" t="inlineStr">
        <is>
          <t>Phân tích thiết kế hệ thống hướng quan hệ</t>
        </is>
      </c>
      <c r="C111" s="12" t="inlineStr">
        <is>
          <t>111179</t>
        </is>
      </c>
      <c r="D111" s="12" t="n">
        <v>3</v>
      </c>
      <c r="E111" s="13" t="inlineStr">
        <is>
          <t>Cơ sở ngành</t>
        </is>
      </c>
      <c r="F111" s="12" t="inlineStr">
        <is>
          <t>V</t>
        </is>
      </c>
      <c r="G111" s="12" t="inlineStr">
        <is>
          <t>5.2</t>
        </is>
      </c>
      <c r="H111" s="13" t="inlineStr">
        <is>
          <t>Xác định nhu cầu và giải pháp công nghệ</t>
        </is>
      </c>
      <c r="I111" s="12" t="inlineStr">
        <is>
          <t>Mức 4</t>
        </is>
      </c>
      <c r="J111" s="12" t="inlineStr">
        <is>
          <t>CLO4</t>
        </is>
      </c>
      <c r="K111" s="13" t="inlineStr">
        <is>
          <t>Thiết kế mô hình triển khai hê thống thông tin theo quy mô của hệ thống</t>
        </is>
      </c>
      <c r="L111" s="12" t="inlineStr">
        <is>
          <t>PI 2.6</t>
        </is>
      </c>
      <c r="M111" s="13" t="inlineStr">
        <is>
          <t>Report</t>
        </is>
      </c>
      <c r="N111" s="13" t="inlineStr">
        <is>
          <t>Áp dụng phương pháp luận kỹ thuật hiện đại (Agile, CDIO) giải quyết bài toán thực tiễn.</t>
        </is>
      </c>
    </row>
    <row r="112" ht="52.8" customHeight="1" s="16">
      <c r="A112" s="12" t="n">
        <v>27</v>
      </c>
      <c r="B112" s="13" t="inlineStr">
        <is>
          <t>Phân tích thiết kế hệ thống hướng quan hệ</t>
        </is>
      </c>
      <c r="C112" s="12" t="inlineStr">
        <is>
          <t>111179</t>
        </is>
      </c>
      <c r="D112" s="12" t="n">
        <v>3</v>
      </c>
      <c r="E112" s="13" t="inlineStr">
        <is>
          <t>Cơ sở ngành</t>
        </is>
      </c>
      <c r="F112" s="12" t="inlineStr">
        <is>
          <t>V</t>
        </is>
      </c>
      <c r="G112" s="12" t="inlineStr">
        <is>
          <t>5.2</t>
        </is>
      </c>
      <c r="H112" s="13" t="inlineStr">
        <is>
          <t>Xác định nhu cầu và giải pháp công nghệ</t>
        </is>
      </c>
      <c r="I112" s="12" t="inlineStr">
        <is>
          <t>Mức 4</t>
        </is>
      </c>
      <c r="J112" s="12" t="inlineStr">
        <is>
          <t>CLO5</t>
        </is>
      </c>
      <c r="K112" s="13" t="inlineStr">
        <is>
          <t>Phân tích mô hình dữ liệu của hệ thống để đánh giá mức độ phù hợp với hệ thống thông tin cần xây dựng</t>
        </is>
      </c>
      <c r="L112" s="12" t="inlineStr">
        <is>
          <t>PI 4.3</t>
        </is>
      </c>
      <c r="M112" s="13" t="inlineStr">
        <is>
          <t>Report</t>
        </is>
      </c>
      <c r="N112" s="13" t="inlineStr">
        <is>
          <t>Áp dụng phương pháp luận kỹ thuật hiện đại (Agile, CDIO) giải quyết bài toán thực tiễn.</t>
        </is>
      </c>
    </row>
    <row r="113" ht="52.8" customHeight="1" s="16">
      <c r="A113" s="12" t="n">
        <v>28</v>
      </c>
      <c r="B113" s="13" t="inlineStr">
        <is>
          <t>Lập trình giao tiếp thiết bị</t>
        </is>
      </c>
      <c r="C113" s="12" t="inlineStr">
        <is>
          <t>111181</t>
        </is>
      </c>
      <c r="D113" s="12" t="n">
        <v>3</v>
      </c>
      <c r="E113" s="13" t="inlineStr">
        <is>
          <t>Chuyên ngành</t>
        </is>
      </c>
      <c r="F113" s="12" t="inlineStr">
        <is>
          <t>V</t>
        </is>
      </c>
      <c r="G113" s="12" t="inlineStr">
        <is>
          <t>5.2</t>
        </is>
      </c>
      <c r="H113" s="13" t="inlineStr">
        <is>
          <t>Xác định nhu cầu và giải pháp công nghệ</t>
        </is>
      </c>
      <c r="I113" s="12" t="inlineStr">
        <is>
          <t>Mức 4</t>
        </is>
      </c>
      <c r="J113" s="12" t="inlineStr">
        <is>
          <t>CLO1</t>
        </is>
      </c>
      <c r="K113" s="13" t="inlineStr">
        <is>
          <t>Áp dụng các công cụ kỹ thuật hiện đại để mô hình hóa các giải pháp đề xuất;</t>
        </is>
      </c>
      <c r="L113" s="12" t="inlineStr">
        <is>
          <t>PI 1.4</t>
        </is>
      </c>
      <c r="M113" s="13" t="inlineStr">
        <is>
          <t>Báo cáo / Thực hành</t>
        </is>
      </c>
      <c r="N113" s="13" t="inlineStr">
        <is>
          <t>Áp dụng phương pháp luận kỹ thuật hiện đại (Agile, CDIO) giải quyết bài toán thực tiễn.</t>
        </is>
      </c>
    </row>
    <row r="114" ht="52.8" customHeight="1" s="16">
      <c r="A114" s="12" t="n">
        <v>28</v>
      </c>
      <c r="B114" s="13" t="inlineStr">
        <is>
          <t>Lập trình giao tiếp thiết bị</t>
        </is>
      </c>
      <c r="C114" s="12" t="inlineStr">
        <is>
          <t>111181</t>
        </is>
      </c>
      <c r="D114" s="12" t="n">
        <v>3</v>
      </c>
      <c r="E114" s="13" t="inlineStr">
        <is>
          <t>Chuyên ngành</t>
        </is>
      </c>
      <c r="F114" s="12" t="inlineStr">
        <is>
          <t>V</t>
        </is>
      </c>
      <c r="G114" s="12" t="inlineStr">
        <is>
          <t>5.1</t>
        </is>
      </c>
      <c r="H114" s="13" t="inlineStr">
        <is>
          <t>Giải quyết các vấn đề kỹ thuật</t>
        </is>
      </c>
      <c r="I114" s="12" t="inlineStr">
        <is>
          <t>Mức 4</t>
        </is>
      </c>
      <c r="J114" s="12" t="inlineStr">
        <is>
          <t>CLO2</t>
        </is>
      </c>
      <c r="K114" s="13" t="inlineStr">
        <is>
          <t>Đánh giá được dữ liệu thu thập từ cảm biến bằng việc đo lường và thực hiện các thí nghiệm</t>
        </is>
      </c>
      <c r="L114" s="12" t="inlineStr">
        <is>
          <t>PI 4.2</t>
        </is>
      </c>
      <c r="M114" s="13" t="inlineStr">
        <is>
          <t>Báo cáo / Thực hành</t>
        </is>
      </c>
      <c r="N114" s="13" t="inlineStr">
        <is>
          <t>Áp dụng phương pháp luận kỹ thuật hiện đại (Agile, CDIO) giải quyết bài toán thực tiễn.</t>
        </is>
      </c>
    </row>
    <row r="115" ht="52.8" customHeight="1" s="16">
      <c r="A115" s="12" t="n">
        <v>28</v>
      </c>
      <c r="B115" s="13" t="inlineStr">
        <is>
          <t>Lập trình giao tiếp thiết bị</t>
        </is>
      </c>
      <c r="C115" s="12" t="inlineStr">
        <is>
          <t>111181</t>
        </is>
      </c>
      <c r="D115" s="12" t="n">
        <v>3</v>
      </c>
      <c r="E115" s="13" t="inlineStr">
        <is>
          <t>Chuyên ngành</t>
        </is>
      </c>
      <c r="F115" s="12" t="inlineStr">
        <is>
          <t>V</t>
        </is>
      </c>
      <c r="G115" s="12" t="inlineStr">
        <is>
          <t>5.1</t>
        </is>
      </c>
      <c r="H115" s="13" t="inlineStr">
        <is>
          <t>Giải quyết các vấn đề kỹ thuật</t>
        </is>
      </c>
      <c r="I115" s="12" t="inlineStr">
        <is>
          <t>Mức 4</t>
        </is>
      </c>
      <c r="J115" s="12" t="inlineStr">
        <is>
          <t>CLO3</t>
        </is>
      </c>
      <c r="K115" s="13" t="inlineStr">
        <is>
          <t>Phân tích được các số liệu thực nghiệm và yêu cầu của bài toán để đề xuất thiết bị phù hợp cho dự án</t>
        </is>
      </c>
      <c r="L115" s="12" t="inlineStr">
        <is>
          <t>PI 4.3</t>
        </is>
      </c>
      <c r="M115" s="13" t="inlineStr">
        <is>
          <t>Báo cáo / Thực hành</t>
        </is>
      </c>
      <c r="N115" s="13" t="inlineStr">
        <is>
          <t>Áp dụng phương pháp luận kỹ thuật hiện đại (Agile, CDIO) giải quyết bài toán thực tiễn.</t>
        </is>
      </c>
    </row>
    <row r="116" ht="52.8" customHeight="1" s="16">
      <c r="A116" s="12" t="n">
        <v>28</v>
      </c>
      <c r="B116" s="13" t="inlineStr">
        <is>
          <t>Lập trình giao tiếp thiết bị</t>
        </is>
      </c>
      <c r="C116" s="12" t="inlineStr">
        <is>
          <t>111181</t>
        </is>
      </c>
      <c r="D116" s="12" t="n">
        <v>3</v>
      </c>
      <c r="E116" s="13" t="inlineStr">
        <is>
          <t>Chuyên ngành</t>
        </is>
      </c>
      <c r="F116" s="12" t="inlineStr">
        <is>
          <t>III</t>
        </is>
      </c>
      <c r="G116" s="12" t="inlineStr">
        <is>
          <t>3.1</t>
        </is>
      </c>
      <c r="H116" s="13" t="inlineStr">
        <is>
          <t>Phát triển nội dung số</t>
        </is>
      </c>
      <c r="I116" s="12" t="inlineStr">
        <is>
          <t>Mức 4</t>
        </is>
      </c>
      <c r="J116" s="12" t="inlineStr">
        <is>
          <t>CLO4</t>
        </is>
      </c>
      <c r="K116" s="13" t="inlineStr">
        <is>
          <t>Sử dụng được các công cụ đồ họa để trình bày các ý tưởng thiết kế dữ liệu</t>
        </is>
      </c>
      <c r="L116" s="12" t="inlineStr">
        <is>
          <t>PI 3.4</t>
        </is>
      </c>
      <c r="M116" s="13" t="inlineStr">
        <is>
          <t>Báo cáo / Thực hành</t>
        </is>
      </c>
      <c r="N116" s="13" t="inlineStr">
        <is>
          <t>Rèn luyện tư duy lập trình tối ưu, chuẩn Clean Code và tuân thủ bản quyền phần mềm.</t>
        </is>
      </c>
    </row>
    <row r="117" ht="39.6" customHeight="1" s="16">
      <c r="A117" s="12" t="n">
        <v>28</v>
      </c>
      <c r="B117" s="13" t="inlineStr">
        <is>
          <t>Lập trình giao tiếp thiết bị</t>
        </is>
      </c>
      <c r="C117" s="12" t="inlineStr">
        <is>
          <t>111181</t>
        </is>
      </c>
      <c r="D117" s="12" t="n">
        <v>3</v>
      </c>
      <c r="E117" s="13" t="inlineStr">
        <is>
          <t>Chuyên ngành</t>
        </is>
      </c>
      <c r="F117" s="12" t="inlineStr">
        <is>
          <t>II</t>
        </is>
      </c>
      <c r="G117" s="12" t="inlineStr">
        <is>
          <t>2.4</t>
        </is>
      </c>
      <c r="H117" s="13" t="inlineStr">
        <is>
          <t>Hợp tác thông qua công nghệ số</t>
        </is>
      </c>
      <c r="I117" s="12" t="inlineStr">
        <is>
          <t>Mức 4</t>
        </is>
      </c>
      <c r="J117" s="12" t="inlineStr">
        <is>
          <t>CLO5</t>
        </is>
      </c>
      <c r="K117" s="13" t="inlineStr">
        <is>
          <t>Sử dụng kỹ năng trong việc sắp xếp công việc cá nhân hoặc nhóm phù hợp với mục tiêu công việc đề ra</t>
        </is>
      </c>
      <c r="L117" s="12" t="inlineStr">
        <is>
          <t>PI 5.1</t>
        </is>
      </c>
      <c r="M117" s="13" t="inlineStr">
        <is>
          <t>Báo cáo / Thực hành</t>
        </is>
      </c>
      <c r="N117" s="13" t="inlineStr">
        <is>
          <t>Đẩy mạnh sử dụng nền tảng số (GitHub, Jira) để hợp tác và quản lý dự án nhóm.</t>
        </is>
      </c>
    </row>
    <row r="118" ht="52.8" customHeight="1" s="16">
      <c r="A118" s="12" t="n">
        <v>29</v>
      </c>
      <c r="B118" s="13" t="inlineStr">
        <is>
          <t>Lập trình ứng dụng di động</t>
        </is>
      </c>
      <c r="C118" s="12" t="inlineStr">
        <is>
          <t>111182</t>
        </is>
      </c>
      <c r="D118" s="12" t="n">
        <v>3</v>
      </c>
      <c r="E118" s="13" t="inlineStr">
        <is>
          <t>Chuyên ngành</t>
        </is>
      </c>
      <c r="F118" s="12" t="inlineStr">
        <is>
          <t>V</t>
        </is>
      </c>
      <c r="G118" s="12" t="inlineStr">
        <is>
          <t>5.2</t>
        </is>
      </c>
      <c r="H118" s="13" t="inlineStr">
        <is>
          <t>Xác định nhu cầu và giải pháp công nghệ</t>
        </is>
      </c>
      <c r="I118" s="12" t="inlineStr">
        <is>
          <t>Mức 4</t>
        </is>
      </c>
      <c r="J118" s="12" t="inlineStr">
        <is>
          <t>CLO1</t>
        </is>
      </c>
      <c r="K118" s="13" t="inlineStr">
        <is>
          <t>Thiết kế các thành phần chức năng của ứng dụng di động đáp ứng các yêu cầu đặt ra</t>
        </is>
      </c>
      <c r="L118" s="12" t="inlineStr">
        <is>
          <t>PI 2.4</t>
        </is>
      </c>
      <c r="M118" s="13" t="inlineStr">
        <is>
          <t>Báo cáo / Thực hành</t>
        </is>
      </c>
      <c r="N118" s="13" t="inlineStr">
        <is>
          <t>Áp dụng phương pháp luận kỹ thuật hiện đại (Agile, CDIO) giải quyết bài toán thực tiễn.</t>
        </is>
      </c>
    </row>
    <row r="119" ht="52.8" customHeight="1" s="16">
      <c r="A119" s="12" t="n">
        <v>29</v>
      </c>
      <c r="B119" s="13" t="inlineStr">
        <is>
          <t>Lập trình ứng dụng di động</t>
        </is>
      </c>
      <c r="C119" s="12" t="inlineStr">
        <is>
          <t>111182</t>
        </is>
      </c>
      <c r="D119" s="12" t="n">
        <v>3</v>
      </c>
      <c r="E119" s="13" t="inlineStr">
        <is>
          <t>Chuyên ngành</t>
        </is>
      </c>
      <c r="F119" s="12" t="inlineStr">
        <is>
          <t>I</t>
        </is>
      </c>
      <c r="G119" s="12" t="inlineStr">
        <is>
          <t>1.3</t>
        </is>
      </c>
      <c r="H119" s="13" t="inlineStr">
        <is>
          <t>Quản lý dữ liệu, thông tin và nội dung số</t>
        </is>
      </c>
      <c r="I119" s="12" t="inlineStr">
        <is>
          <t>Mức 4</t>
        </is>
      </c>
      <c r="J119" s="12" t="inlineStr">
        <is>
          <t>CLO2</t>
        </is>
      </c>
      <c r="K119" s="13" t="inlineStr">
        <is>
          <t>Thiết kế cơ sở dữ liệu đáp ứng cấu trúc dữ liệu phù hợp yêu cầu đặc tả</t>
        </is>
      </c>
      <c r="L119" s="12" t="inlineStr">
        <is>
          <t>PI 2.5</t>
        </is>
      </c>
      <c r="M119" s="13" t="inlineStr">
        <is>
          <t>Báo cáo / Thực hành</t>
        </is>
      </c>
      <c r="N119" s="13" t="inlineStr">
        <is>
          <t>Ứng dụng các kỹ thuật phân tích và truy xuất dữ liệu lớn phục vụ học tập và nghiên cứu.</t>
        </is>
      </c>
    </row>
    <row r="120" ht="52.8" customHeight="1" s="16">
      <c r="A120" s="12" t="n">
        <v>29</v>
      </c>
      <c r="B120" s="13" t="inlineStr">
        <is>
          <t>Lập trình ứng dụng di động</t>
        </is>
      </c>
      <c r="C120" s="12" t="inlineStr">
        <is>
          <t>111182</t>
        </is>
      </c>
      <c r="D120" s="12" t="n">
        <v>3</v>
      </c>
      <c r="E120" s="13" t="inlineStr">
        <is>
          <t>Chuyên ngành</t>
        </is>
      </c>
      <c r="F120" s="12" t="inlineStr">
        <is>
          <t>III</t>
        </is>
      </c>
      <c r="G120" s="12" t="inlineStr">
        <is>
          <t>3.1</t>
        </is>
      </c>
      <c r="H120" s="13" t="inlineStr">
        <is>
          <t>Phát triển nội dung số</t>
        </is>
      </c>
      <c r="I120" s="12" t="inlineStr">
        <is>
          <t>Mức 4</t>
        </is>
      </c>
      <c r="J120" s="12" t="inlineStr">
        <is>
          <t>CLO3</t>
        </is>
      </c>
      <c r="K120" s="13" t="inlineStr">
        <is>
          <t>Sử dụng được các công cụ đồ họa để trình bày các ý tưởng thiết kế dữ liệu</t>
        </is>
      </c>
      <c r="L120" s="12" t="inlineStr">
        <is>
          <t>PI 3.4</t>
        </is>
      </c>
      <c r="M120" s="13" t="inlineStr">
        <is>
          <t>Báo cáo / Thực hành</t>
        </is>
      </c>
      <c r="N120" s="13" t="inlineStr">
        <is>
          <t>Rèn luyện tư duy lập trình tối ưu, chuẩn Clean Code và tuân thủ bản quyền phần mềm.</t>
        </is>
      </c>
    </row>
    <row r="121" ht="39.6" customHeight="1" s="16">
      <c r="A121" s="12" t="n">
        <v>29</v>
      </c>
      <c r="B121" s="13" t="inlineStr">
        <is>
          <t>Lập trình ứng dụng di động</t>
        </is>
      </c>
      <c r="C121" s="12" t="inlineStr">
        <is>
          <t>111182</t>
        </is>
      </c>
      <c r="D121" s="12" t="n">
        <v>3</v>
      </c>
      <c r="E121" s="13" t="inlineStr">
        <is>
          <t>Chuyên ngành</t>
        </is>
      </c>
      <c r="F121" s="12" t="inlineStr">
        <is>
          <t>II</t>
        </is>
      </c>
      <c r="G121" s="12" t="inlineStr">
        <is>
          <t>2.4</t>
        </is>
      </c>
      <c r="H121" s="13" t="inlineStr">
        <is>
          <t>Hợp tác thông qua công nghệ số</t>
        </is>
      </c>
      <c r="I121" s="12" t="inlineStr">
        <is>
          <t>Mức 4</t>
        </is>
      </c>
      <c r="J121" s="12" t="inlineStr">
        <is>
          <t>CLO4</t>
        </is>
      </c>
      <c r="K121" s="13" t="inlineStr">
        <is>
          <t>Thể hiện được vai trò cá nhân trong nhóm một cách rõ ràng</t>
        </is>
      </c>
      <c r="L121" s="12" t="inlineStr">
        <is>
          <t>PI 5.2</t>
        </is>
      </c>
      <c r="M121" s="13" t="inlineStr">
        <is>
          <t>Báo cáo / Thực hành</t>
        </is>
      </c>
      <c r="N121" s="13" t="inlineStr">
        <is>
          <t>Đẩy mạnh sử dụng nền tảng số (GitHub, Jira) để hợp tác và quản lý dự án nhóm.</t>
        </is>
      </c>
    </row>
    <row r="122" ht="52.8" customHeight="1" s="16">
      <c r="A122" s="12" t="n">
        <v>30</v>
      </c>
      <c r="B122" s="13" t="inlineStr">
        <is>
          <t>Lập trình ứng dụng web</t>
        </is>
      </c>
      <c r="C122" s="12" t="inlineStr">
        <is>
          <t>111184</t>
        </is>
      </c>
      <c r="D122" s="12" t="n">
        <v>3</v>
      </c>
      <c r="E122" s="13" t="inlineStr">
        <is>
          <t>Chuyên ngành</t>
        </is>
      </c>
      <c r="F122" s="12" t="inlineStr">
        <is>
          <t>V</t>
        </is>
      </c>
      <c r="G122" s="12" t="inlineStr">
        <is>
          <t>5.2</t>
        </is>
      </c>
      <c r="H122" s="13" t="inlineStr">
        <is>
          <t>Xác định nhu cầu và giải pháp công nghệ</t>
        </is>
      </c>
      <c r="I122" s="12" t="inlineStr">
        <is>
          <t>Mức 4</t>
        </is>
      </c>
      <c r="J122" s="12" t="inlineStr">
        <is>
          <t>CLO1</t>
        </is>
      </c>
      <c r="K122" s="13" t="inlineStr">
        <is>
          <t>Phân tích các thành phần chức năng của ứng dụng web phù hợp với mô hình đã phân tích</t>
        </is>
      </c>
      <c r="L122" s="12" t="inlineStr">
        <is>
          <t>PI 2.4</t>
        </is>
      </c>
      <c r="M122" s="13" t="inlineStr">
        <is>
          <t>Report (Check list)</t>
        </is>
      </c>
      <c r="N122" s="13" t="inlineStr">
        <is>
          <t>Áp dụng phương pháp luận kỹ thuật hiện đại (Agile, CDIO) giải quyết bài toán thực tiễn.</t>
        </is>
      </c>
    </row>
    <row r="123" ht="52.8" customHeight="1" s="16">
      <c r="A123" s="12" t="n">
        <v>30</v>
      </c>
      <c r="B123" s="13" t="inlineStr">
        <is>
          <t>Lập trình ứng dụng web</t>
        </is>
      </c>
      <c r="C123" s="12" t="inlineStr">
        <is>
          <t>111184</t>
        </is>
      </c>
      <c r="D123" s="12" t="n">
        <v>3</v>
      </c>
      <c r="E123" s="13" t="inlineStr">
        <is>
          <t>Chuyên ngành</t>
        </is>
      </c>
      <c r="F123" s="12" t="inlineStr">
        <is>
          <t>V</t>
        </is>
      </c>
      <c r="G123" s="12" t="inlineStr">
        <is>
          <t>5.1</t>
        </is>
      </c>
      <c r="H123" s="13" t="inlineStr">
        <is>
          <t>Giải quyết các vấn đề kỹ thuật</t>
        </is>
      </c>
      <c r="I123" s="12" t="inlineStr">
        <is>
          <t>Mức 4</t>
        </is>
      </c>
      <c r="J123" s="12" t="inlineStr">
        <is>
          <t>CLO2</t>
        </is>
      </c>
      <c r="K123" s="13" t="inlineStr">
        <is>
          <t>Thực hiện các bài kiểm thử để kiểm tra các yêu cầu chức năng phù hợp với các mục tiêu dự án</t>
        </is>
      </c>
      <c r="L123" s="12" t="inlineStr">
        <is>
          <t>PI 4.1</t>
        </is>
      </c>
      <c r="M123" s="13" t="inlineStr">
        <is>
          <t>Report (Check list)</t>
        </is>
      </c>
      <c r="N123" s="13" t="inlineStr">
        <is>
          <t>Áp dụng phương pháp luận kỹ thuật hiện đại (Agile, CDIO) giải quyết bài toán thực tiễn.</t>
        </is>
      </c>
    </row>
    <row r="124" ht="39.6" customHeight="1" s="16">
      <c r="A124" s="12" t="n">
        <v>30</v>
      </c>
      <c r="B124" s="13" t="inlineStr">
        <is>
          <t>Lập trình ứng dụng web</t>
        </is>
      </c>
      <c r="C124" s="12" t="inlineStr">
        <is>
          <t>111184</t>
        </is>
      </c>
      <c r="D124" s="12" t="n">
        <v>3</v>
      </c>
      <c r="E124" s="13" t="inlineStr">
        <is>
          <t>Chuyên ngành</t>
        </is>
      </c>
      <c r="F124" s="12" t="inlineStr">
        <is>
          <t>II</t>
        </is>
      </c>
      <c r="G124" s="12" t="inlineStr">
        <is>
          <t>2.2</t>
        </is>
      </c>
      <c r="H124" s="13" t="inlineStr">
        <is>
          <t>Chia sẻ thông tin và nội dung thông qua công nghệ số</t>
        </is>
      </c>
      <c r="I124" s="12" t="inlineStr">
        <is>
          <t>Mức 4</t>
        </is>
      </c>
      <c r="J124" s="12" t="inlineStr">
        <is>
          <t>CLO3</t>
        </is>
      </c>
      <c r="K124" s="13" t="inlineStr">
        <is>
          <t>Viết báo cáo trình bày nội dung các công việc đã thực hiện bằng văn bản một cách hợp lý và đúng quy định về định đạng</t>
        </is>
      </c>
      <c r="L124" s="12" t="inlineStr">
        <is>
          <t>PI 3.1</t>
        </is>
      </c>
      <c r="M124" s="13" t="inlineStr">
        <is>
          <t>Report (Check list)</t>
        </is>
      </c>
      <c r="N124" s="13" t="inlineStr">
        <is>
          <t>Đẩy mạnh sử dụng nền tảng số (GitHub, Jira) để hợp tác và quản lý dự án nhóm.</t>
        </is>
      </c>
    </row>
    <row r="125" ht="39.6" customHeight="1" s="16">
      <c r="A125" s="12" t="n">
        <v>30</v>
      </c>
      <c r="B125" s="13" t="inlineStr">
        <is>
          <t>Lập trình ứng dụng web</t>
        </is>
      </c>
      <c r="C125" s="12" t="inlineStr">
        <is>
          <t>111184</t>
        </is>
      </c>
      <c r="D125" s="12" t="n">
        <v>3</v>
      </c>
      <c r="E125" s="13" t="inlineStr">
        <is>
          <t>Chuyên ngành</t>
        </is>
      </c>
      <c r="F125" s="12" t="inlineStr">
        <is>
          <t>II</t>
        </is>
      </c>
      <c r="G125" s="12" t="inlineStr">
        <is>
          <t>2.4</t>
        </is>
      </c>
      <c r="H125" s="13" t="inlineStr">
        <is>
          <t>Hợp tác thông qua công nghệ số</t>
        </is>
      </c>
      <c r="I125" s="12" t="inlineStr">
        <is>
          <t>Mức 4</t>
        </is>
      </c>
      <c r="J125" s="12" t="inlineStr">
        <is>
          <t>CLO4</t>
        </is>
      </c>
      <c r="K125" s="13" t="inlineStr">
        <is>
          <t>Sử dụng kỹ năng trong việc sắp xếp công việc cá nhân hoặc nhóm phù hợp với mục tiêu công việc đề ra</t>
        </is>
      </c>
      <c r="L125" s="12" t="inlineStr">
        <is>
          <t>PI 5.1</t>
        </is>
      </c>
      <c r="M125" s="13" t="inlineStr">
        <is>
          <t>Report (Check list)</t>
        </is>
      </c>
      <c r="N125" s="13" t="inlineStr">
        <is>
          <t>Đẩy mạnh sử dụng nền tảng số (GitHub, Jira) để hợp tác và quản lý dự án nhóm.</t>
        </is>
      </c>
    </row>
    <row r="126" ht="39.6" customHeight="1" s="16">
      <c r="A126" s="12" t="n">
        <v>31</v>
      </c>
      <c r="B126" s="13" t="inlineStr">
        <is>
          <t>Lập trình Python cho học máy</t>
        </is>
      </c>
      <c r="C126" s="12" t="inlineStr">
        <is>
          <t>111185</t>
        </is>
      </c>
      <c r="D126" s="12" t="n">
        <v>3</v>
      </c>
      <c r="E126" s="13" t="inlineStr">
        <is>
          <t>Chuyên ngành</t>
        </is>
      </c>
      <c r="F126" s="12" t="inlineStr">
        <is>
          <t>VI</t>
        </is>
      </c>
      <c r="G126" s="12" t="inlineStr">
        <is>
          <t>6.2</t>
        </is>
      </c>
      <c r="H126" s="13" t="inlineStr">
        <is>
          <t>Sử dụng AI có đạo đức và trách nhiệm</t>
        </is>
      </c>
      <c r="I126" s="12" t="inlineStr">
        <is>
          <t>Mức 4</t>
        </is>
      </c>
      <c r="J126" s="12" t="inlineStr">
        <is>
          <t>CLO1</t>
        </is>
      </c>
      <c r="K126" s="13" t="inlineStr">
        <is>
          <t>Áp dụng các thuật toán phù hợp để giải quyết các vấn đề trong máy học</t>
        </is>
      </c>
      <c r="L126" s="12" t="inlineStr">
        <is>
          <t>PI 1.2</t>
        </is>
      </c>
      <c r="M126" s="13" t="inlineStr">
        <is>
          <t>Báo cáo (Marking Guide)</t>
        </is>
      </c>
      <c r="N126" s="13" t="inlineStr">
        <is>
          <t>Tích hợp xu hướng Vibe Coding và khai thác trợ lý AI có trách nhiệm, chuẩn mực.</t>
        </is>
      </c>
    </row>
    <row r="127" ht="39.6" customHeight="1" s="16">
      <c r="A127" s="12" t="n">
        <v>31</v>
      </c>
      <c r="B127" s="13" t="inlineStr">
        <is>
          <t>Lập trình Python cho học máy</t>
        </is>
      </c>
      <c r="C127" s="12" t="inlineStr">
        <is>
          <t>111185</t>
        </is>
      </c>
      <c r="D127" s="12" t="n">
        <v>3</v>
      </c>
      <c r="E127" s="13" t="inlineStr">
        <is>
          <t>Chuyên ngành</t>
        </is>
      </c>
      <c r="F127" s="12" t="inlineStr">
        <is>
          <t>VI</t>
        </is>
      </c>
      <c r="G127" s="12" t="inlineStr">
        <is>
          <t>6.2</t>
        </is>
      </c>
      <c r="H127" s="13" t="inlineStr">
        <is>
          <t>Sử dụng AI có đạo đức và trách nhiệm</t>
        </is>
      </c>
      <c r="I127" s="12" t="inlineStr">
        <is>
          <t>Mức 4</t>
        </is>
      </c>
      <c r="J127" s="12" t="inlineStr">
        <is>
          <t>CLO2</t>
        </is>
      </c>
      <c r="K127" s="13" t="inlineStr">
        <is>
          <t>Thu thập thông tin và xác định yêu cầu (các bước) chức năng để giải quyết bài toán máy học</t>
        </is>
      </c>
      <c r="L127" s="12" t="inlineStr">
        <is>
          <t>PI 2.1</t>
        </is>
      </c>
      <c r="M127" s="13" t="inlineStr">
        <is>
          <t>Báo cáo (Marking Guide)</t>
        </is>
      </c>
      <c r="N127" s="13" t="inlineStr">
        <is>
          <t>Tích hợp xu hướng Vibe Coding và khai thác trợ lý AI có trách nhiệm, chuẩn mực.</t>
        </is>
      </c>
    </row>
    <row r="128" ht="39.6" customHeight="1" s="16">
      <c r="A128" s="12" t="n">
        <v>31</v>
      </c>
      <c r="B128" s="13" t="inlineStr">
        <is>
          <t>Lập trình Python cho học máy</t>
        </is>
      </c>
      <c r="C128" s="12" t="inlineStr">
        <is>
          <t>111185</t>
        </is>
      </c>
      <c r="D128" s="12" t="n">
        <v>3</v>
      </c>
      <c r="E128" s="13" t="inlineStr">
        <is>
          <t>Chuyên ngành</t>
        </is>
      </c>
      <c r="F128" s="12" t="inlineStr">
        <is>
          <t>VI</t>
        </is>
      </c>
      <c r="G128" s="12" t="inlineStr">
        <is>
          <t>6.2</t>
        </is>
      </c>
      <c r="H128" s="13" t="inlineStr">
        <is>
          <t>Sử dụng AI có đạo đức và trách nhiệm</t>
        </is>
      </c>
      <c r="I128" s="12" t="inlineStr">
        <is>
          <t>Mức 4</t>
        </is>
      </c>
      <c r="J128" s="12" t="inlineStr">
        <is>
          <t>CLO3</t>
        </is>
      </c>
      <c r="K128" s="13" t="inlineStr">
        <is>
          <t>Biết cách tìm kiếm,  chọn lựa, trình bày tài liệu phù hợp để giải quyết bài toán</t>
        </is>
      </c>
      <c r="L128" s="12" t="inlineStr">
        <is>
          <t>PI3.3</t>
        </is>
      </c>
      <c r="M128" s="13" t="inlineStr">
        <is>
          <t>Báo cáo (Marking Guide)</t>
        </is>
      </c>
      <c r="N128" s="13" t="inlineStr">
        <is>
          <t>Tích hợp xu hướng Vibe Coding và khai thác trợ lý AI có trách nhiệm, chuẩn mực.</t>
        </is>
      </c>
    </row>
    <row r="129" ht="39.6" customHeight="1" s="16">
      <c r="A129" s="12" t="n">
        <v>31</v>
      </c>
      <c r="B129" s="13" t="inlineStr">
        <is>
          <t>Lập trình Python cho học máy</t>
        </is>
      </c>
      <c r="C129" s="12" t="inlineStr">
        <is>
          <t>111185</t>
        </is>
      </c>
      <c r="D129" s="12" t="n">
        <v>3</v>
      </c>
      <c r="E129" s="13" t="inlineStr">
        <is>
          <t>Chuyên ngành</t>
        </is>
      </c>
      <c r="F129" s="12" t="inlineStr">
        <is>
          <t>VI</t>
        </is>
      </c>
      <c r="G129" s="12" t="inlineStr">
        <is>
          <t>6.2</t>
        </is>
      </c>
      <c r="H129" s="13" t="inlineStr">
        <is>
          <t>Sử dụng AI có đạo đức và trách nhiệm</t>
        </is>
      </c>
      <c r="I129" s="12" t="inlineStr">
        <is>
          <t>Mức 4</t>
        </is>
      </c>
      <c r="J129" s="12" t="inlineStr">
        <is>
          <t>CLO4</t>
        </is>
      </c>
      <c r="K129" s="13" t="inlineStr">
        <is>
          <t>Áp dụng kỹ năng quản lý công việc để lập kế hoạch thực hiện dự án máy học</t>
        </is>
      </c>
      <c r="L129" s="12" t="inlineStr">
        <is>
          <t>PI5.1</t>
        </is>
      </c>
      <c r="M129" s="13" t="inlineStr">
        <is>
          <t>Báo cáo (Marking Guide)</t>
        </is>
      </c>
      <c r="N129" s="13" t="inlineStr">
        <is>
          <t>Tích hợp xu hướng Vibe Coding và khai thác trợ lý AI có trách nhiệm, chuẩn mực.</t>
        </is>
      </c>
    </row>
    <row r="130" ht="39.6" customHeight="1" s="16">
      <c r="A130" s="12" t="n">
        <v>32</v>
      </c>
      <c r="B130" s="13" t="inlineStr">
        <is>
          <t>Lập trình Python trong thị giác máy tính</t>
        </is>
      </c>
      <c r="C130" s="12" t="inlineStr">
        <is>
          <t>111186</t>
        </is>
      </c>
      <c r="D130" s="12" t="n">
        <v>3</v>
      </c>
      <c r="E130" s="13" t="inlineStr">
        <is>
          <t>Chuyên ngành</t>
        </is>
      </c>
      <c r="F130" s="12" t="inlineStr">
        <is>
          <t>VI</t>
        </is>
      </c>
      <c r="G130" s="12" t="inlineStr">
        <is>
          <t>6.2</t>
        </is>
      </c>
      <c r="H130" s="13" t="inlineStr">
        <is>
          <t>Sử dụng AI có đạo đức và trách nhiệm</t>
        </is>
      </c>
      <c r="I130" s="12" t="inlineStr">
        <is>
          <t>Mức 4</t>
        </is>
      </c>
      <c r="J130" s="12" t="inlineStr">
        <is>
          <t>CLO1</t>
        </is>
      </c>
      <c r="K130" s="13" t="inlineStr">
        <is>
          <t>Vận dụng thư viện OpenCV và Python để xử lý ảnh số, biến đổi hình thái và trích xuất đặc trưng hình ảnh.</t>
        </is>
      </c>
      <c r="L130" s="12" t="inlineStr">
        <is>
          <t>PI 1.3</t>
        </is>
      </c>
      <c r="M130" s="13" t="inlineStr">
        <is>
          <t>Thực hành lập trình</t>
        </is>
      </c>
      <c r="N130" s="13" t="inlineStr">
        <is>
          <t>Tích hợp xu hướng Vibe Coding và khai thác trợ lý AI có trách nhiệm, chuẩn mực.</t>
        </is>
      </c>
    </row>
    <row r="131" ht="39.6" customHeight="1" s="16">
      <c r="A131" s="12" t="n">
        <v>32</v>
      </c>
      <c r="B131" s="13" t="inlineStr">
        <is>
          <t>Lập trình Python trong thị giác máy tính</t>
        </is>
      </c>
      <c r="C131" s="12" t="inlineStr">
        <is>
          <t>111186</t>
        </is>
      </c>
      <c r="D131" s="12" t="n">
        <v>3</v>
      </c>
      <c r="E131" s="13" t="inlineStr">
        <is>
          <t>Chuyên ngành</t>
        </is>
      </c>
      <c r="F131" s="12" t="inlineStr">
        <is>
          <t>VI</t>
        </is>
      </c>
      <c r="G131" s="12" t="inlineStr">
        <is>
          <t>6.2</t>
        </is>
      </c>
      <c r="H131" s="13" t="inlineStr">
        <is>
          <t>Sử dụng AI có đạo đức và trách nhiệm</t>
        </is>
      </c>
      <c r="I131" s="12" t="inlineStr">
        <is>
          <t>Mức 5</t>
        </is>
      </c>
      <c r="J131" s="12" t="inlineStr">
        <is>
          <t>CLO2</t>
        </is>
      </c>
      <c r="K131" s="13" t="inlineStr">
        <is>
          <t>Xây dựng ứng dụng phát hiện, phân loại và nhận diện đối tượng dựa trên kỹ thuật thị giác máy tính.</t>
        </is>
      </c>
      <c r="L131" s="12" t="inlineStr">
        <is>
          <t>PI 2.4</t>
        </is>
      </c>
      <c r="M131" s="13" t="inlineStr">
        <is>
          <t>Đồ án môn học</t>
        </is>
      </c>
      <c r="N131" s="13" t="inlineStr">
        <is>
          <t>Tích hợp xu hướng Vibe Coding và khai thác trợ lý AI có trách nhiệm, chuẩn mực.</t>
        </is>
      </c>
    </row>
    <row r="132" ht="39.6" customHeight="1" s="16">
      <c r="A132" s="12" t="n">
        <v>32</v>
      </c>
      <c r="B132" s="13" t="inlineStr">
        <is>
          <t>Lập trình Python trong thị giác máy tính</t>
        </is>
      </c>
      <c r="C132" s="12" t="inlineStr">
        <is>
          <t>111186</t>
        </is>
      </c>
      <c r="D132" s="12" t="n">
        <v>3</v>
      </c>
      <c r="E132" s="13" t="inlineStr">
        <is>
          <t>Chuyên ngành</t>
        </is>
      </c>
      <c r="F132" s="12" t="inlineStr">
        <is>
          <t>VI</t>
        </is>
      </c>
      <c r="G132" s="12" t="inlineStr">
        <is>
          <t>6.1</t>
        </is>
      </c>
      <c r="H132" s="13" t="inlineStr">
        <is>
          <t>Hiểu biết về AI (trong đó có GenAI)</t>
        </is>
      </c>
      <c r="I132" s="12" t="inlineStr">
        <is>
          <t>Mức 4</t>
        </is>
      </c>
      <c r="J132" s="12" t="inlineStr">
        <is>
          <t>CLO3</t>
        </is>
      </c>
      <c r="K132" s="13" t="inlineStr">
        <is>
          <t>Đo lường, kiểm thử và đánh giá độ chính xác của các mô hình thị giác máy tính trên dữ liệu thực nghiệm.</t>
        </is>
      </c>
      <c r="L132" s="12" t="inlineStr">
        <is>
          <t>PI 4.2</t>
        </is>
      </c>
      <c r="M132" s="13" t="inlineStr">
        <is>
          <t>Báo cáo kiểm thử</t>
        </is>
      </c>
      <c r="N132" s="13" t="inlineStr">
        <is>
          <t>Tích hợp xu hướng Vibe Coding và khai thác trợ lý AI có trách nhiệm, chuẩn mực.</t>
        </is>
      </c>
    </row>
    <row r="133" ht="39.6" customHeight="1" s="16">
      <c r="A133" s="12" t="n">
        <v>33</v>
      </c>
      <c r="B133" s="13" t="inlineStr">
        <is>
          <t>Kiểm thử và đảm bảo chất lượng phần mềm</t>
        </is>
      </c>
      <c r="C133" s="12" t="inlineStr">
        <is>
          <t>111187</t>
        </is>
      </c>
      <c r="D133" s="12" t="n">
        <v>3</v>
      </c>
      <c r="E133" s="13" t="inlineStr">
        <is>
          <t>Cơ sở ngành</t>
        </is>
      </c>
      <c r="F133" s="12" t="inlineStr">
        <is>
          <t>II</t>
        </is>
      </c>
      <c r="G133" s="12" t="inlineStr">
        <is>
          <t>2.2</t>
        </is>
      </c>
      <c r="H133" s="13" t="inlineStr">
        <is>
          <t>Chia sẻ thông tin và nội dung thông qua công nghệ số</t>
        </is>
      </c>
      <c r="I133" s="12" t="inlineStr">
        <is>
          <t>Mức 4</t>
        </is>
      </c>
      <c r="J133" s="12" t="inlineStr">
        <is>
          <t>CLO1</t>
        </is>
      </c>
      <c r="K133" s="13" t="inlineStr">
        <is>
          <t>Viết báo cáo trình bày nội dung các công việc đã thực hiện bằng văn bản một cách hợp lý và đúng quy định về định đạng</t>
        </is>
      </c>
      <c r="L133" s="12" t="inlineStr">
        <is>
          <t>PI 3.1</t>
        </is>
      </c>
      <c r="M133" s="13" t="inlineStr">
        <is>
          <t>Report (Check list)</t>
        </is>
      </c>
      <c r="N133" s="13" t="inlineStr">
        <is>
          <t>Đẩy mạnh sử dụng nền tảng số (GitHub, Jira) để hợp tác và quản lý dự án nhóm.</t>
        </is>
      </c>
    </row>
    <row r="134" ht="52.8" customHeight="1" s="16">
      <c r="A134" s="12" t="n">
        <v>33</v>
      </c>
      <c r="B134" s="13" t="inlineStr">
        <is>
          <t>Kiểm thử và đảm bảo chất lượng phần mềm</t>
        </is>
      </c>
      <c r="C134" s="12" t="inlineStr">
        <is>
          <t>111187</t>
        </is>
      </c>
      <c r="D134" s="12" t="n">
        <v>3</v>
      </c>
      <c r="E134" s="13" t="inlineStr">
        <is>
          <t>Cơ sở ngành</t>
        </is>
      </c>
      <c r="F134" s="12" t="inlineStr">
        <is>
          <t>V</t>
        </is>
      </c>
      <c r="G134" s="12" t="inlineStr">
        <is>
          <t>5.1</t>
        </is>
      </c>
      <c r="H134" s="13" t="inlineStr">
        <is>
          <t>Giải quyết các vấn đề kỹ thuật</t>
        </is>
      </c>
      <c r="I134" s="12" t="inlineStr">
        <is>
          <t>Mức 4</t>
        </is>
      </c>
      <c r="J134" s="12" t="inlineStr">
        <is>
          <t>CLO2</t>
        </is>
      </c>
      <c r="K134" s="13" t="inlineStr">
        <is>
          <t>Thực hiện các bài kiểm thử để kiểm tra các yêu cầu chức năng phù hợp với các mục tiêu dự án</t>
        </is>
      </c>
      <c r="L134" s="12" t="inlineStr">
        <is>
          <t>PI 4.1</t>
        </is>
      </c>
      <c r="M134" s="13" t="inlineStr">
        <is>
          <t>Report (Check list)</t>
        </is>
      </c>
      <c r="N134" s="13" t="inlineStr">
        <is>
          <t>Áp dụng phương pháp luận kỹ thuật hiện đại (Agile, CDIO) giải quyết bài toán thực tiễn.</t>
        </is>
      </c>
    </row>
    <row r="135" ht="52.8" customHeight="1" s="16">
      <c r="A135" s="12" t="n">
        <v>33</v>
      </c>
      <c r="B135" s="13" t="inlineStr">
        <is>
          <t>Kiểm thử và đảm bảo chất lượng phần mềm</t>
        </is>
      </c>
      <c r="C135" s="12" t="inlineStr">
        <is>
          <t>111187</t>
        </is>
      </c>
      <c r="D135" s="12" t="n">
        <v>3</v>
      </c>
      <c r="E135" s="13" t="inlineStr">
        <is>
          <t>Cơ sở ngành</t>
        </is>
      </c>
      <c r="F135" s="12" t="inlineStr">
        <is>
          <t>V</t>
        </is>
      </c>
      <c r="G135" s="12" t="inlineStr">
        <is>
          <t>5.1</t>
        </is>
      </c>
      <c r="H135" s="13" t="inlineStr">
        <is>
          <t>Giải quyết các vấn đề kỹ thuật</t>
        </is>
      </c>
      <c r="I135" s="12" t="inlineStr">
        <is>
          <t>Mức 4</t>
        </is>
      </c>
      <c r="J135" s="12" t="inlineStr">
        <is>
          <t>CLO3</t>
        </is>
      </c>
      <c r="K135" s="13" t="inlineStr">
        <is>
          <t>Đo lường các kết quả thu được trong quá trình kiểm thử để đánh giá các chức năng đã xây dựng</t>
        </is>
      </c>
      <c r="L135" s="12" t="inlineStr">
        <is>
          <t>PI 4.2</t>
        </is>
      </c>
      <c r="M135" s="13" t="inlineStr">
        <is>
          <t>Report (Check list)</t>
        </is>
      </c>
      <c r="N135" s="13" t="inlineStr">
        <is>
          <t>Áp dụng phương pháp luận kỹ thuật hiện đại (Agile, CDIO) giải quyết bài toán thực tiễn.</t>
        </is>
      </c>
    </row>
    <row r="136" ht="39.6" customHeight="1" s="16">
      <c r="A136" s="12" t="n">
        <v>33</v>
      </c>
      <c r="B136" s="13" t="inlineStr">
        <is>
          <t>Kiểm thử và đảm bảo chất lượng phần mềm</t>
        </is>
      </c>
      <c r="C136" s="12" t="inlineStr">
        <is>
          <t>111187</t>
        </is>
      </c>
      <c r="D136" s="12" t="n">
        <v>3</v>
      </c>
      <c r="E136" s="13" t="inlineStr">
        <is>
          <t>Cơ sở ngành</t>
        </is>
      </c>
      <c r="F136" s="12" t="inlineStr">
        <is>
          <t>II</t>
        </is>
      </c>
      <c r="G136" s="12" t="inlineStr">
        <is>
          <t>2.4</t>
        </is>
      </c>
      <c r="H136" s="13" t="inlineStr">
        <is>
          <t>Hợp tác thông qua công nghệ số</t>
        </is>
      </c>
      <c r="I136" s="12" t="inlineStr">
        <is>
          <t>Mức 3</t>
        </is>
      </c>
      <c r="J136" s="12" t="inlineStr">
        <is>
          <t>CLO4</t>
        </is>
      </c>
      <c r="K136" s="13" t="inlineStr">
        <is>
          <t>Sử dụng kỹ năng trong việc sắp xếp công việc cá nhân hoặc nhóm phù hợp với mục tiêu công việc đề ra</t>
        </is>
      </c>
      <c r="L136" s="12" t="inlineStr">
        <is>
          <t>PI 5.1</t>
        </is>
      </c>
      <c r="M136" s="13" t="inlineStr">
        <is>
          <t>Report (Check list)</t>
        </is>
      </c>
      <c r="N136" s="13" t="inlineStr">
        <is>
          <t>Đẩy mạnh sử dụng nền tảng số (GitHub, Jira) để hợp tác và quản lý dự án nhóm.</t>
        </is>
      </c>
    </row>
    <row r="137" ht="52.8" customHeight="1" s="16">
      <c r="A137" s="12" t="n">
        <v>34</v>
      </c>
      <c r="B137" s="13" t="inlineStr">
        <is>
          <t>Quản trị website trên VPS.</t>
        </is>
      </c>
      <c r="C137" s="12" t="inlineStr">
        <is>
          <t>111188</t>
        </is>
      </c>
      <c r="D137" s="12" t="n">
        <v>3</v>
      </c>
      <c r="E137" s="13" t="inlineStr">
        <is>
          <t>Chuyên ngành</t>
        </is>
      </c>
      <c r="F137" s="12" t="inlineStr">
        <is>
          <t>V</t>
        </is>
      </c>
      <c r="G137" s="12" t="inlineStr">
        <is>
          <t>5.2</t>
        </is>
      </c>
      <c r="H137" s="13" t="inlineStr">
        <is>
          <t>Xác định nhu cầu và giải pháp công nghệ</t>
        </is>
      </c>
      <c r="I137" s="12" t="inlineStr">
        <is>
          <t>Mức 4</t>
        </is>
      </c>
      <c r="J137" s="12" t="inlineStr">
        <is>
          <t>CLO1</t>
        </is>
      </c>
      <c r="K137" s="13" t="inlineStr">
        <is>
          <t>Phân tích được kiến trúc máy chủ, quy trình xử lý của Web Server và nguyên lý Reverse Proxy trên các hệ điều hành.</t>
        </is>
      </c>
      <c r="L137" s="12" t="inlineStr">
        <is>
          <t>PI 2.2</t>
        </is>
      </c>
      <c r="M137" s="13" t="inlineStr">
        <is>
          <t>Report (check list)</t>
        </is>
      </c>
      <c r="N137" s="13" t="inlineStr">
        <is>
          <t>Áp dụng phương pháp luận kỹ thuật hiện đại (Agile, CDIO) giải quyết bài toán thực tiễn.</t>
        </is>
      </c>
    </row>
    <row r="138" ht="52.8" customHeight="1" s="16">
      <c r="A138" s="12" t="n">
        <v>34</v>
      </c>
      <c r="B138" s="13" t="inlineStr">
        <is>
          <t>Quản trị website trên VPS.</t>
        </is>
      </c>
      <c r="C138" s="12" t="inlineStr">
        <is>
          <t>111188</t>
        </is>
      </c>
      <c r="D138" s="12" t="n">
        <v>3</v>
      </c>
      <c r="E138" s="13" t="inlineStr">
        <is>
          <t>Chuyên ngành</t>
        </is>
      </c>
      <c r="F138" s="12" t="inlineStr">
        <is>
          <t>I</t>
        </is>
      </c>
      <c r="G138" s="12" t="inlineStr">
        <is>
          <t>1.2</t>
        </is>
      </c>
      <c r="H138" s="13" t="inlineStr">
        <is>
          <t>Đánh giá dữ liệu, thông tin và nội dung số</t>
        </is>
      </c>
      <c r="I138" s="12" t="inlineStr">
        <is>
          <t>Mức 5</t>
        </is>
      </c>
      <c r="J138" s="12" t="inlineStr">
        <is>
          <t>CLO2</t>
        </is>
      </c>
      <c r="K138" s="13" t="inlineStr">
        <is>
          <t>Đánh giá được ưu nhược điểm của các hệ quản trị cơ sở dữ liệu (SQL &amp; NoSQL) để lựa chọn giải pháp lưu trữ tối ưu cho dự án.</t>
        </is>
      </c>
      <c r="L138" s="12" t="inlineStr">
        <is>
          <t>PI 2.5</t>
        </is>
      </c>
      <c r="M138" s="13" t="inlineStr">
        <is>
          <t>Report (check list)</t>
        </is>
      </c>
      <c r="N138" s="13" t="inlineStr">
        <is>
          <t>Ứng dụng các kỹ thuật phân tích và truy xuất dữ liệu lớn phục vụ học tập và nghiên cứu.</t>
        </is>
      </c>
    </row>
    <row r="139" ht="52.8" customHeight="1" s="16">
      <c r="A139" s="12" t="n">
        <v>34</v>
      </c>
      <c r="B139" s="13" t="inlineStr">
        <is>
          <t>Quản trị website trên VPS.</t>
        </is>
      </c>
      <c r="C139" s="12" t="inlineStr">
        <is>
          <t>111188</t>
        </is>
      </c>
      <c r="D139" s="12" t="n">
        <v>3</v>
      </c>
      <c r="E139" s="13" t="inlineStr">
        <is>
          <t>Chuyên ngành</t>
        </is>
      </c>
      <c r="F139" s="12" t="inlineStr">
        <is>
          <t>IV</t>
        </is>
      </c>
      <c r="G139" s="12" t="inlineStr">
        <is>
          <t>4.2</t>
        </is>
      </c>
      <c r="H139" s="13" t="inlineStr">
        <is>
          <t>Bảo vệ dữ liệu cá nhân và quyền riêng tư</t>
        </is>
      </c>
      <c r="I139" s="12" t="inlineStr">
        <is>
          <t>Mức 5</t>
        </is>
      </c>
      <c r="J139" s="12" t="inlineStr">
        <is>
          <t>CLO3</t>
        </is>
      </c>
      <c r="K139" s="13" t="inlineStr">
        <is>
          <t>Triển khai thành thạo hệ thống Node.js tích hợp cấu hình bảo mật (SSL/Firewall) và quy trình tự động hóa CI/CD.</t>
        </is>
      </c>
      <c r="L139" s="12" t="inlineStr">
        <is>
          <t>PI 2.6</t>
        </is>
      </c>
      <c r="M139" s="13" t="inlineStr">
        <is>
          <t>Report (check list)</t>
        </is>
      </c>
      <c r="N139" s="13" t="inlineStr">
        <is>
          <t>Tăng cường nhận thức bảo mật, cấu hình an toàn hệ thống và bảo vệ dữ liệu người dùng.</t>
        </is>
      </c>
    </row>
    <row r="140" ht="39.6" customHeight="1" s="16">
      <c r="A140" s="12" t="n">
        <v>34</v>
      </c>
      <c r="B140" s="13" t="inlineStr">
        <is>
          <t>Quản trị website trên VPS.</t>
        </is>
      </c>
      <c r="C140" s="12" t="inlineStr">
        <is>
          <t>111188</t>
        </is>
      </c>
      <c r="D140" s="12" t="n">
        <v>3</v>
      </c>
      <c r="E140" s="13" t="inlineStr">
        <is>
          <t>Chuyên ngành</t>
        </is>
      </c>
      <c r="F140" s="12" t="inlineStr">
        <is>
          <t>II</t>
        </is>
      </c>
      <c r="G140" s="12" t="inlineStr">
        <is>
          <t>2.4</t>
        </is>
      </c>
      <c r="H140" s="13" t="inlineStr">
        <is>
          <t>Hợp tác thông qua công nghệ số</t>
        </is>
      </c>
      <c r="I140" s="12" t="inlineStr">
        <is>
          <t>Mức 5</t>
        </is>
      </c>
      <c r="J140" s="12" t="inlineStr">
        <is>
          <t>CLO4</t>
        </is>
      </c>
      <c r="K140" s="13" t="inlineStr">
        <is>
          <t>Thể hiện trách nhiệm cá nhân và sự phối hợp hiệu quả trong làm việc nhóm để giải quyết các sự cố hệ thống thực tế.</t>
        </is>
      </c>
      <c r="L140" s="12" t="inlineStr">
        <is>
          <t>PI 5.2</t>
        </is>
      </c>
      <c r="M140" s="13" t="inlineStr">
        <is>
          <t>Report (check list)</t>
        </is>
      </c>
      <c r="N140" s="13" t="inlineStr">
        <is>
          <t>Đẩy mạnh sử dụng nền tảng số (GitHub, Jira) để hợp tác và quản lý dự án nhóm.</t>
        </is>
      </c>
    </row>
    <row r="141" ht="52.8" customHeight="1" s="16">
      <c r="A141" s="12" t="n">
        <v>35</v>
      </c>
      <c r="B141" s="13" t="inlineStr">
        <is>
          <t>Phát triển ứng dụng</t>
        </is>
      </c>
      <c r="C141" s="12" t="inlineStr">
        <is>
          <t>111189</t>
        </is>
      </c>
      <c r="D141" s="12" t="n">
        <v>3</v>
      </c>
      <c r="E141" s="13" t="inlineStr">
        <is>
          <t>Chuyên ngành</t>
        </is>
      </c>
      <c r="F141" s="12" t="inlineStr">
        <is>
          <t>V</t>
        </is>
      </c>
      <c r="G141" s="12" t="inlineStr">
        <is>
          <t>5.2</t>
        </is>
      </c>
      <c r="H141" s="13" t="inlineStr">
        <is>
          <t>Xác định nhu cầu và giải pháp công nghệ</t>
        </is>
      </c>
      <c r="I141" s="12" t="inlineStr">
        <is>
          <t>Mức 5</t>
        </is>
      </c>
      <c r="J141" s="12" t="inlineStr">
        <is>
          <t>CLO1</t>
        </is>
      </c>
      <c r="K141" s="13" t="inlineStr">
        <is>
          <t>Áp dụng các kỹ thuật thu thập thông tin (phỏng vấn, bảng câu hỏi, đọc tài liệu,...) để xác định các yêu cầu cho hệ thống thông tin</t>
        </is>
      </c>
      <c r="L141" s="12" t="inlineStr">
        <is>
          <t>PI 2.1</t>
        </is>
      </c>
      <c r="M141" s="13" t="inlineStr">
        <is>
          <t>Report (Rubric)</t>
        </is>
      </c>
      <c r="N141" s="13" t="inlineStr">
        <is>
          <t>Áp dụng phương pháp luận kỹ thuật hiện đại (Agile, CDIO) giải quyết bài toán thực tiễn.</t>
        </is>
      </c>
    </row>
    <row r="142" ht="52.8" customHeight="1" s="16">
      <c r="A142" s="12" t="n">
        <v>35</v>
      </c>
      <c r="B142" s="13" t="inlineStr">
        <is>
          <t>Phát triển ứng dụng</t>
        </is>
      </c>
      <c r="C142" s="12" t="inlineStr">
        <is>
          <t>111189</t>
        </is>
      </c>
      <c r="D142" s="12" t="n">
        <v>3</v>
      </c>
      <c r="E142" s="13" t="inlineStr">
        <is>
          <t>Chuyên ngành</t>
        </is>
      </c>
      <c r="F142" s="12" t="inlineStr">
        <is>
          <t>V</t>
        </is>
      </c>
      <c r="G142" s="12" t="inlineStr">
        <is>
          <t>5.2</t>
        </is>
      </c>
      <c r="H142" s="13" t="inlineStr">
        <is>
          <t>Xác định nhu cầu và giải pháp công nghệ</t>
        </is>
      </c>
      <c r="I142" s="12" t="inlineStr">
        <is>
          <t>Mức 5</t>
        </is>
      </c>
      <c r="J142" s="12" t="inlineStr">
        <is>
          <t>CLO2</t>
        </is>
      </c>
      <c r="K142" s="13" t="inlineStr">
        <is>
          <t>Phân tích yêu cầu để đưa ra các thành phần chức năng của hệ thống</t>
        </is>
      </c>
      <c r="L142" s="12" t="inlineStr">
        <is>
          <t>PI 2.4</t>
        </is>
      </c>
      <c r="M142" s="13" t="inlineStr">
        <is>
          <t>Report (Rubric)</t>
        </is>
      </c>
      <c r="N142" s="13" t="inlineStr">
        <is>
          <t>Áp dụng phương pháp luận kỹ thuật hiện đại (Agile, CDIO) giải quyết bài toán thực tiễn.</t>
        </is>
      </c>
    </row>
    <row r="143" ht="52.8" customHeight="1" s="16">
      <c r="A143" s="12" t="n">
        <v>35</v>
      </c>
      <c r="B143" s="13" t="inlineStr">
        <is>
          <t>Phát triển ứng dụng</t>
        </is>
      </c>
      <c r="C143" s="12" t="inlineStr">
        <is>
          <t>111189</t>
        </is>
      </c>
      <c r="D143" s="12" t="n">
        <v>3</v>
      </c>
      <c r="E143" s="13" t="inlineStr">
        <is>
          <t>Chuyên ngành</t>
        </is>
      </c>
      <c r="F143" s="12" t="inlineStr">
        <is>
          <t>I</t>
        </is>
      </c>
      <c r="G143" s="12" t="inlineStr">
        <is>
          <t>1.3</t>
        </is>
      </c>
      <c r="H143" s="13" t="inlineStr">
        <is>
          <t>Quản lý dữ liệu, thông tin và nội dung số</t>
        </is>
      </c>
      <c r="I143" s="12" t="inlineStr">
        <is>
          <t>Mức 5</t>
        </is>
      </c>
      <c r="J143" s="12" t="inlineStr">
        <is>
          <t>CLO3</t>
        </is>
      </c>
      <c r="K143" s="13" t="inlineStr">
        <is>
          <t>Thiết kế cơ sở dữ liệu để đáp ứng được các yêu cầu chức năng của hệ thống</t>
        </is>
      </c>
      <c r="L143" s="12" t="inlineStr">
        <is>
          <t>PI 2.5</t>
        </is>
      </c>
      <c r="M143" s="13" t="inlineStr">
        <is>
          <t>Report (Rubric)</t>
        </is>
      </c>
      <c r="N143" s="13" t="inlineStr">
        <is>
          <t>Ứng dụng các kỹ thuật phân tích và truy xuất dữ liệu lớn phục vụ học tập và nghiên cứu.</t>
        </is>
      </c>
    </row>
    <row r="144" ht="39.6" customHeight="1" s="16">
      <c r="A144" s="12" t="n">
        <v>35</v>
      </c>
      <c r="B144" s="13" t="inlineStr">
        <is>
          <t>Phát triển ứng dụng</t>
        </is>
      </c>
      <c r="C144" s="12" t="inlineStr">
        <is>
          <t>111189</t>
        </is>
      </c>
      <c r="D144" s="12" t="n">
        <v>3</v>
      </c>
      <c r="E144" s="13" t="inlineStr">
        <is>
          <t>Chuyên ngành</t>
        </is>
      </c>
      <c r="F144" s="12" t="inlineStr">
        <is>
          <t>II</t>
        </is>
      </c>
      <c r="G144" s="12" t="inlineStr">
        <is>
          <t>2.2</t>
        </is>
      </c>
      <c r="H144" s="13" t="inlineStr">
        <is>
          <t>Chia sẻ thông tin và nội dung thông qua công nghệ số</t>
        </is>
      </c>
      <c r="I144" s="12" t="inlineStr">
        <is>
          <t>Mức 4</t>
        </is>
      </c>
      <c r="J144" s="12" t="inlineStr">
        <is>
          <t>CLO4</t>
        </is>
      </c>
      <c r="K144" s="13" t="inlineStr">
        <is>
          <t>Viết báo cáo trình bày nội dung các công việc đã thực hiện bằng văn bản một cách hợp lý và đúng quy định về định đạng</t>
        </is>
      </c>
      <c r="L144" s="12" t="inlineStr">
        <is>
          <t>PI 3.1</t>
        </is>
      </c>
      <c r="M144" s="13" t="inlineStr">
        <is>
          <t>Report (Rubric)</t>
        </is>
      </c>
      <c r="N144" s="13" t="inlineStr">
        <is>
          <t>Đẩy mạnh sử dụng nền tảng số (GitHub, Jira) để hợp tác và quản lý dự án nhóm.</t>
        </is>
      </c>
    </row>
    <row r="145" ht="39.6" customHeight="1" s="16">
      <c r="A145" s="12" t="n">
        <v>35</v>
      </c>
      <c r="B145" s="13" t="inlineStr">
        <is>
          <t>Phát triển ứng dụng</t>
        </is>
      </c>
      <c r="C145" s="12" t="inlineStr">
        <is>
          <t>111189</t>
        </is>
      </c>
      <c r="D145" s="12" t="n">
        <v>3</v>
      </c>
      <c r="E145" s="13" t="inlineStr">
        <is>
          <t>Chuyên ngành</t>
        </is>
      </c>
      <c r="F145" s="12" t="inlineStr">
        <is>
          <t>II</t>
        </is>
      </c>
      <c r="G145" s="12" t="inlineStr">
        <is>
          <t>2.1</t>
        </is>
      </c>
      <c r="H145" s="13" t="inlineStr">
        <is>
          <t>Tương tác thông qua công nghệ số</t>
        </is>
      </c>
      <c r="I145" s="12" t="inlineStr">
        <is>
          <t>Mức 4</t>
        </is>
      </c>
      <c r="J145" s="12" t="inlineStr">
        <is>
          <t>CLO5</t>
        </is>
      </c>
      <c r="K145" s="13" t="inlineStr">
        <is>
          <t>Trình bày được các công việc đã thực hiện bằng lời nói đáp ứng các tiêu chí đặt ra</t>
        </is>
      </c>
      <c r="L145" s="12" t="inlineStr">
        <is>
          <t>PI 3.2</t>
        </is>
      </c>
      <c r="M145" s="13" t="inlineStr">
        <is>
          <t>Report (Rubric)</t>
        </is>
      </c>
      <c r="N145" s="13" t="inlineStr">
        <is>
          <t>Đẩy mạnh sử dụng nền tảng số (GitHub, Jira) để hợp tác và quản lý dự án nhóm.</t>
        </is>
      </c>
    </row>
    <row r="146" ht="52.8" customHeight="1" s="16">
      <c r="A146" s="12" t="n">
        <v>36</v>
      </c>
      <c r="B146" s="13" t="inlineStr">
        <is>
          <t>Phân tích và thiết kế hệ thống thông tin</t>
        </is>
      </c>
      <c r="C146" s="12" t="inlineStr">
        <is>
          <t>111241</t>
        </is>
      </c>
      <c r="D146" s="12" t="n">
        <v>3</v>
      </c>
      <c r="E146" s="13" t="inlineStr">
        <is>
          <t>Chuyên ngành</t>
        </is>
      </c>
      <c r="F146" s="12" t="inlineStr">
        <is>
          <t>V</t>
        </is>
      </c>
      <c r="G146" s="12" t="inlineStr">
        <is>
          <t>5.2</t>
        </is>
      </c>
      <c r="H146" s="13" t="inlineStr">
        <is>
          <t>Xác định nhu cầu và giải pháp công nghệ</t>
        </is>
      </c>
      <c r="I146" s="12" t="inlineStr">
        <is>
          <t>Mức 5</t>
        </is>
      </c>
      <c r="J146" s="12" t="inlineStr">
        <is>
          <t>CLO1</t>
        </is>
      </c>
      <c r="K146" s="13" t="inlineStr">
        <is>
          <t>Khảo sát yêu cầu, mô hình hóa cấu trúc và hành vi hệ thống thông tin doanh nghiệp bằng UML.</t>
        </is>
      </c>
      <c r="L146" s="12" t="inlineStr">
        <is>
          <t>PI 2.1</t>
        </is>
      </c>
      <c r="M146" s="13" t="inlineStr">
        <is>
          <t>Báo cáo bài tập lớn</t>
        </is>
      </c>
      <c r="N146" s="13" t="inlineStr">
        <is>
          <t>Áp dụng phương pháp luận kỹ thuật hiện đại (Agile, CDIO) giải quyết bài toán thực tiễn.</t>
        </is>
      </c>
    </row>
    <row r="147" ht="52.8" customHeight="1" s="16">
      <c r="A147" s="12" t="n">
        <v>36</v>
      </c>
      <c r="B147" s="13" t="inlineStr">
        <is>
          <t>Phân tích và thiết kế hệ thống thông tin</t>
        </is>
      </c>
      <c r="C147" s="12" t="inlineStr">
        <is>
          <t>111241</t>
        </is>
      </c>
      <c r="D147" s="12" t="n">
        <v>3</v>
      </c>
      <c r="E147" s="13" t="inlineStr">
        <is>
          <t>Chuyên ngành</t>
        </is>
      </c>
      <c r="F147" s="12" t="inlineStr">
        <is>
          <t>I</t>
        </is>
      </c>
      <c r="G147" s="12" t="inlineStr">
        <is>
          <t>1.3</t>
        </is>
      </c>
      <c r="H147" s="13" t="inlineStr">
        <is>
          <t>Quản lý dữ liệu, thông tin và nội dung số</t>
        </is>
      </c>
      <c r="I147" s="12" t="inlineStr">
        <is>
          <t>Mức 5</t>
        </is>
      </c>
      <c r="J147" s="12" t="inlineStr">
        <is>
          <t>CLO2</t>
        </is>
      </c>
      <c r="K147" s="13" t="inlineStr">
        <is>
          <t>Thiết kế kiến trúc hệ thống thông tin, cơ sở dữ liệu và giao diện người dùng theo quy trình phần mềm hiện đại.</t>
        </is>
      </c>
      <c r="L147" s="12" t="inlineStr">
        <is>
          <t>PI 2.4</t>
        </is>
      </c>
      <c r="M147" s="13" t="inlineStr">
        <is>
          <t>Đồ án nhóm</t>
        </is>
      </c>
      <c r="N147" s="13" t="inlineStr">
        <is>
          <t>Ứng dụng các kỹ thuật phân tích và truy xuất dữ liệu lớn phục vụ học tập và nghiên cứu.</t>
        </is>
      </c>
    </row>
    <row r="148" ht="52.8" customHeight="1" s="16">
      <c r="A148" s="12" t="n">
        <v>36</v>
      </c>
      <c r="B148" s="13" t="inlineStr">
        <is>
          <t>Phân tích và thiết kế hệ thống thông tin</t>
        </is>
      </c>
      <c r="C148" s="12" t="inlineStr">
        <is>
          <t>111241</t>
        </is>
      </c>
      <c r="D148" s="12" t="n">
        <v>3</v>
      </c>
      <c r="E148" s="13" t="inlineStr">
        <is>
          <t>Chuyên ngành</t>
        </is>
      </c>
      <c r="F148" s="12" t="inlineStr">
        <is>
          <t>V</t>
        </is>
      </c>
      <c r="G148" s="12" t="inlineStr">
        <is>
          <t>5.2</t>
        </is>
      </c>
      <c r="H148" s="13" t="inlineStr">
        <is>
          <t>Xác định nhu cầu và giải pháp công nghệ</t>
        </is>
      </c>
      <c r="I148" s="12" t="inlineStr">
        <is>
          <t>Mức 5</t>
        </is>
      </c>
      <c r="J148" s="12" t="inlineStr">
        <is>
          <t>CLO3</t>
        </is>
      </c>
      <c r="K148" s="13" t="inlineStr">
        <is>
          <t>Đề xuất và đánh giá giải pháp chuyển đổi số toàn diện đáp ứng bài toán thực tế của tổ chức.</t>
        </is>
      </c>
      <c r="L148" s="12" t="inlineStr">
        <is>
          <t>PI 2.6</t>
        </is>
      </c>
      <c r="M148" s="13" t="inlineStr">
        <is>
          <t>Báo cáo thuyết trình</t>
        </is>
      </c>
      <c r="N148" s="13" t="inlineStr">
        <is>
          <t>Áp dụng phương pháp luận kỹ thuật hiện đại (Agile, CDIO) giải quyết bài toán thực tiễn.</t>
        </is>
      </c>
    </row>
    <row r="149" ht="52.8" customHeight="1" s="16">
      <c r="A149" s="12" t="n">
        <v>37</v>
      </c>
      <c r="B149" s="13" t="inlineStr">
        <is>
          <t>Phân tích dữ liệu thông minh</t>
        </is>
      </c>
      <c r="C149" s="12" t="inlineStr">
        <is>
          <t>111242</t>
        </is>
      </c>
      <c r="D149" s="12" t="n">
        <v>3</v>
      </c>
      <c r="E149" s="13" t="inlineStr">
        <is>
          <t>Chuyên ngành</t>
        </is>
      </c>
      <c r="F149" s="12" t="inlineStr">
        <is>
          <t>I</t>
        </is>
      </c>
      <c r="G149" s="12" t="inlineStr">
        <is>
          <t>1.3</t>
        </is>
      </c>
      <c r="H149" s="13" t="inlineStr">
        <is>
          <t>Quản lý dữ liệu, thông tin và nội dung số</t>
        </is>
      </c>
      <c r="I149" s="12" t="inlineStr">
        <is>
          <t>Mức 4</t>
        </is>
      </c>
      <c r="J149" s="12" t="inlineStr">
        <is>
          <t>CLO1</t>
        </is>
      </c>
      <c r="K149" s="13" t="inlineStr">
        <is>
          <t>Áp dụng các kỹ thuật khai phá dữ liệu (phân lớp, phân cụm, khai phá luật kết hợp) trên các bộ dữ liệu thực tế.</t>
        </is>
      </c>
      <c r="L149" s="12" t="inlineStr">
        <is>
          <t>PI 1.2</t>
        </is>
      </c>
      <c r="M149" s="13" t="inlineStr">
        <is>
          <t>Thực hành lập trình</t>
        </is>
      </c>
      <c r="N149" s="13" t="inlineStr">
        <is>
          <t>Ứng dụng các kỹ thuật phân tích và truy xuất dữ liệu lớn phục vụ học tập và nghiên cứu.</t>
        </is>
      </c>
    </row>
    <row r="150" ht="39.6" customHeight="1" s="16">
      <c r="A150" s="12" t="n">
        <v>37</v>
      </c>
      <c r="B150" s="13" t="inlineStr">
        <is>
          <t>Phân tích dữ liệu thông minh</t>
        </is>
      </c>
      <c r="C150" s="12" t="inlineStr">
        <is>
          <t>111242</t>
        </is>
      </c>
      <c r="D150" s="12" t="n">
        <v>3</v>
      </c>
      <c r="E150" s="13" t="inlineStr">
        <is>
          <t>Chuyên ngành</t>
        </is>
      </c>
      <c r="F150" s="12" t="inlineStr">
        <is>
          <t>VI</t>
        </is>
      </c>
      <c r="G150" s="12" t="inlineStr">
        <is>
          <t>6.1</t>
        </is>
      </c>
      <c r="H150" s="13" t="inlineStr">
        <is>
          <t>Hiểu biết về AI (trong đó có GenAI)</t>
        </is>
      </c>
      <c r="I150" s="12" t="inlineStr">
        <is>
          <t>Mức 5</t>
        </is>
      </c>
      <c r="J150" s="12" t="inlineStr">
        <is>
          <t>CLO2</t>
        </is>
      </c>
      <c r="K150" s="13" t="inlineStr">
        <is>
          <t>Xây dựng và tối ưu hóa các mô hình Machine Learning giải quyết bài toán dự báo và ra quyết định.</t>
        </is>
      </c>
      <c r="L150" s="12" t="inlineStr">
        <is>
          <t>PI 1.3</t>
        </is>
      </c>
      <c r="M150" s="13" t="inlineStr">
        <is>
          <t>Đồ án môn học</t>
        </is>
      </c>
      <c r="N150" s="13" t="inlineStr">
        <is>
          <t>Tích hợp xu hướng Vibe Coding và khai thác trợ lý AI có trách nhiệm, chuẩn mực.</t>
        </is>
      </c>
    </row>
    <row r="151" ht="39.6" customHeight="1" s="16">
      <c r="A151" s="12" t="n">
        <v>37</v>
      </c>
      <c r="B151" s="13" t="inlineStr">
        <is>
          <t>Phân tích dữ liệu thông minh</t>
        </is>
      </c>
      <c r="C151" s="12" t="inlineStr">
        <is>
          <t>111242</t>
        </is>
      </c>
      <c r="D151" s="12" t="n">
        <v>3</v>
      </c>
      <c r="E151" s="13" t="inlineStr">
        <is>
          <t>Chuyên ngành</t>
        </is>
      </c>
      <c r="F151" s="12" t="inlineStr">
        <is>
          <t>VI</t>
        </is>
      </c>
      <c r="G151" s="12" t="inlineStr">
        <is>
          <t>6.1</t>
        </is>
      </c>
      <c r="H151" s="13" t="inlineStr">
        <is>
          <t>Hiểu biết về AI (trong đó có GenAI)</t>
        </is>
      </c>
      <c r="I151" s="12" t="inlineStr">
        <is>
          <t>Mức 4</t>
        </is>
      </c>
      <c r="J151" s="12" t="inlineStr">
        <is>
          <t>CLO3</t>
        </is>
      </c>
      <c r="K151" s="13" t="inlineStr">
        <is>
          <t>Đánh giá chất lượng mô hình khai phá dữ liệu bằng các chỉ số đo lường chuẩn và diễn giải tri thức phát hiện.</t>
        </is>
      </c>
      <c r="L151" s="12" t="inlineStr">
        <is>
          <t>PI 4.3</t>
        </is>
      </c>
      <c r="M151" s="13" t="inlineStr">
        <is>
          <t>Báo cáo phân tích</t>
        </is>
      </c>
      <c r="N151" s="13" t="inlineStr">
        <is>
          <t>Tích hợp xu hướng Vibe Coding và khai thác trợ lý AI có trách nhiệm, chuẩn mực.</t>
        </is>
      </c>
    </row>
    <row r="152" ht="52.8" customHeight="1" s="16">
      <c r="A152" s="12" t="n">
        <v>38</v>
      </c>
      <c r="B152" s="13" t="inlineStr">
        <is>
          <t>Phân tích dữ liệu văn bản</t>
        </is>
      </c>
      <c r="C152" s="12" t="inlineStr">
        <is>
          <t>111243</t>
        </is>
      </c>
      <c r="D152" s="12" t="n">
        <v>3</v>
      </c>
      <c r="E152" s="13" t="inlineStr">
        <is>
          <t>Chuyên ngành</t>
        </is>
      </c>
      <c r="F152" s="12" t="inlineStr">
        <is>
          <t>I</t>
        </is>
      </c>
      <c r="G152" s="12" t="inlineStr">
        <is>
          <t>1.3</t>
        </is>
      </c>
      <c r="H152" s="13" t="inlineStr">
        <is>
          <t>Quản lý dữ liệu, thông tin và nội dung số</t>
        </is>
      </c>
      <c r="I152" s="12" t="inlineStr">
        <is>
          <t>Mức 4</t>
        </is>
      </c>
      <c r="J152" s="12" t="inlineStr">
        <is>
          <t>CLO1</t>
        </is>
      </c>
      <c r="K152" s="13" t="inlineStr">
        <is>
          <t>Thực hiện tiền xử lý văn bản, trích xuất đặc trưng (TF-IDF, Word Embeddings, BERT) bằng thư viện NLP trên Python.</t>
        </is>
      </c>
      <c r="L152" s="12" t="inlineStr">
        <is>
          <t>PI 1.3</t>
        </is>
      </c>
      <c r="M152" s="13" t="inlineStr">
        <is>
          <t>Thực hành lập trình</t>
        </is>
      </c>
      <c r="N152" s="13" t="inlineStr">
        <is>
          <t>Ứng dụng các kỹ thuật phân tích và truy xuất dữ liệu lớn phục vụ học tập và nghiên cứu.</t>
        </is>
      </c>
    </row>
    <row r="153" ht="39.6" customHeight="1" s="16">
      <c r="A153" s="12" t="n">
        <v>38</v>
      </c>
      <c r="B153" s="13" t="inlineStr">
        <is>
          <t>Phân tích dữ liệu văn bản</t>
        </is>
      </c>
      <c r="C153" s="12" t="inlineStr">
        <is>
          <t>111243</t>
        </is>
      </c>
      <c r="D153" s="12" t="n">
        <v>3</v>
      </c>
      <c r="E153" s="13" t="inlineStr">
        <is>
          <t>Chuyên ngành</t>
        </is>
      </c>
      <c r="F153" s="12" t="inlineStr">
        <is>
          <t>VI</t>
        </is>
      </c>
      <c r="G153" s="12" t="inlineStr">
        <is>
          <t>6.1</t>
        </is>
      </c>
      <c r="H153" s="13" t="inlineStr">
        <is>
          <t>Hiểu biết về AI (trong đó có GenAI)</t>
        </is>
      </c>
      <c r="I153" s="12" t="inlineStr">
        <is>
          <t>Mức 5</t>
        </is>
      </c>
      <c r="J153" s="12" t="inlineStr">
        <is>
          <t>CLO2</t>
        </is>
      </c>
      <c r="K153" s="13" t="inlineStr">
        <is>
          <t>Xây dựng mô hình phân loại văn bản, phân tích cảm xúc (Sentiment Analysis) và trích xuất thông tin tự động.</t>
        </is>
      </c>
      <c r="L153" s="12" t="inlineStr">
        <is>
          <t>PI 2.4</t>
        </is>
      </c>
      <c r="M153" s="13" t="inlineStr">
        <is>
          <t>Đồ án nhóm</t>
        </is>
      </c>
      <c r="N153" s="13" t="inlineStr">
        <is>
          <t>Tích hợp xu hướng Vibe Coding và khai thác trợ lý AI có trách nhiệm, chuẩn mực.</t>
        </is>
      </c>
    </row>
    <row r="154" ht="39.6" customHeight="1" s="16">
      <c r="A154" s="12" t="n">
        <v>38</v>
      </c>
      <c r="B154" s="13" t="inlineStr">
        <is>
          <t>Phân tích dữ liệu văn bản</t>
        </is>
      </c>
      <c r="C154" s="12" t="inlineStr">
        <is>
          <t>111243</t>
        </is>
      </c>
      <c r="D154" s="12" t="n">
        <v>3</v>
      </c>
      <c r="E154" s="13" t="inlineStr">
        <is>
          <t>Chuyên ngành</t>
        </is>
      </c>
      <c r="F154" s="12" t="inlineStr">
        <is>
          <t>VI</t>
        </is>
      </c>
      <c r="G154" s="12" t="inlineStr">
        <is>
          <t>6.1</t>
        </is>
      </c>
      <c r="H154" s="13" t="inlineStr">
        <is>
          <t>Hiểu biết về AI (trong đó có GenAI)</t>
        </is>
      </c>
      <c r="I154" s="12" t="inlineStr">
        <is>
          <t>Mức 4</t>
        </is>
      </c>
      <c r="J154" s="12" t="inlineStr">
        <is>
          <t>CLO3</t>
        </is>
      </c>
      <c r="K154" s="13" t="inlineStr">
        <is>
          <t>Đo lường, đánh giá độ chính xác của các mô hình ngôn ngữ tự nhiên và đề xuất phương án cải tiến.</t>
        </is>
      </c>
      <c r="L154" s="12" t="inlineStr">
        <is>
          <t>PI 4.3</t>
        </is>
      </c>
      <c r="M154" s="13" t="inlineStr">
        <is>
          <t>Báo cáo kết quả</t>
        </is>
      </c>
      <c r="N154" s="13" t="inlineStr">
        <is>
          <t>Tích hợp xu hướng Vibe Coding và khai thác trợ lý AI có trách nhiệm, chuẩn mực.</t>
        </is>
      </c>
    </row>
    <row r="155" ht="52.8" customHeight="1" s="16">
      <c r="A155" s="12" t="n">
        <v>39</v>
      </c>
      <c r="B155" s="13" t="inlineStr">
        <is>
          <t>Kỹ thuật xử lý dữ liệu với Python</t>
        </is>
      </c>
      <c r="C155" s="12" t="inlineStr">
        <is>
          <t>111244</t>
        </is>
      </c>
      <c r="D155" s="12" t="n">
        <v>3</v>
      </c>
      <c r="E155" s="13" t="inlineStr">
        <is>
          <t>Chuyên ngành</t>
        </is>
      </c>
      <c r="F155" s="12" t="inlineStr">
        <is>
          <t>I</t>
        </is>
      </c>
      <c r="G155" s="12" t="inlineStr">
        <is>
          <t>1.1</t>
        </is>
      </c>
      <c r="H155" s="13" t="inlineStr">
        <is>
          <t>Duyệt, tìm kiếm và lọc dữ liệu, thông tin và nội dung số</t>
        </is>
      </c>
      <c r="I155" s="12" t="inlineStr">
        <is>
          <t>Mức 4</t>
        </is>
      </c>
      <c r="J155" s="12" t="inlineStr">
        <is>
          <t>CLO1</t>
        </is>
      </c>
      <c r="K155" s="13" t="inlineStr">
        <is>
          <t>Thu thập dữ liệu tự động từ API và Web Scraping bằng Python đảm bảo an toàn truy cập dữ liệu.</t>
        </is>
      </c>
      <c r="L155" s="12" t="inlineStr">
        <is>
          <t>PI 2.1</t>
        </is>
      </c>
      <c r="M155" s="13" t="inlineStr">
        <is>
          <t>Thực hành lập trình</t>
        </is>
      </c>
      <c r="N155" s="13" t="inlineStr">
        <is>
          <t>Ứng dụng các kỹ thuật phân tích và truy xuất dữ liệu lớn phục vụ học tập và nghiên cứu.</t>
        </is>
      </c>
    </row>
    <row r="156" ht="52.8" customHeight="1" s="16">
      <c r="A156" s="12" t="n">
        <v>39</v>
      </c>
      <c r="B156" s="13" t="inlineStr">
        <is>
          <t>Kỹ thuật xử lý dữ liệu với Python</t>
        </is>
      </c>
      <c r="C156" s="12" t="inlineStr">
        <is>
          <t>111244</t>
        </is>
      </c>
      <c r="D156" s="12" t="n">
        <v>3</v>
      </c>
      <c r="E156" s="13" t="inlineStr">
        <is>
          <t>Chuyên ngành</t>
        </is>
      </c>
      <c r="F156" s="12" t="inlineStr">
        <is>
          <t>I</t>
        </is>
      </c>
      <c r="G156" s="12" t="inlineStr">
        <is>
          <t>1.3</t>
        </is>
      </c>
      <c r="H156" s="13" t="inlineStr">
        <is>
          <t>Quản lý dữ liệu, thông tin và nội dung số</t>
        </is>
      </c>
      <c r="I156" s="12" t="inlineStr">
        <is>
          <t>Mức 4</t>
        </is>
      </c>
      <c r="J156" s="12" t="inlineStr">
        <is>
          <t>CLO2</t>
        </is>
      </c>
      <c r="K156" s="13" t="inlineStr">
        <is>
          <t>Làm sạch, định hình lại cấu trúc dữ liệu và xử lý dữ liệu khuyết thiếu bằng NumPy và Pandas.</t>
        </is>
      </c>
      <c r="L156" s="12" t="inlineStr">
        <is>
          <t>PI 1.3</t>
        </is>
      </c>
      <c r="M156" s="13" t="inlineStr">
        <is>
          <t>Bài tập lớn</t>
        </is>
      </c>
      <c r="N156" s="13" t="inlineStr">
        <is>
          <t>Ứng dụng các kỹ thuật phân tích và truy xuất dữ liệu lớn phục vụ học tập và nghiên cứu.</t>
        </is>
      </c>
    </row>
    <row r="157" ht="52.8" customHeight="1" s="16">
      <c r="A157" s="12" t="n">
        <v>39</v>
      </c>
      <c r="B157" s="13" t="inlineStr">
        <is>
          <t>Kỹ thuật xử lý dữ liệu với Python</t>
        </is>
      </c>
      <c r="C157" s="12" t="inlineStr">
        <is>
          <t>111244</t>
        </is>
      </c>
      <c r="D157" s="12" t="n">
        <v>3</v>
      </c>
      <c r="E157" s="13" t="inlineStr">
        <is>
          <t>Chuyên ngành</t>
        </is>
      </c>
      <c r="F157" s="12" t="inlineStr">
        <is>
          <t>I</t>
        </is>
      </c>
      <c r="G157" s="12" t="inlineStr">
        <is>
          <t>1.3</t>
        </is>
      </c>
      <c r="H157" s="13" t="inlineStr">
        <is>
          <t>Quản lý dữ liệu, thông tin và nội dung số</t>
        </is>
      </c>
      <c r="I157" s="12" t="inlineStr">
        <is>
          <t>Mức 5</t>
        </is>
      </c>
      <c r="J157" s="12" t="inlineStr">
        <is>
          <t>CLO3</t>
        </is>
      </c>
      <c r="K157" s="13" t="inlineStr">
        <is>
          <t>Tối ưu hóa hiệu năng thuật toán xử lý dữ liệu quy mô lớn và đảm bảo tính nhất quán của dữ liệu.</t>
        </is>
      </c>
      <c r="L157" s="12" t="inlineStr">
        <is>
          <t>PI 4.2</t>
        </is>
      </c>
      <c r="M157" s="13" t="inlineStr">
        <is>
          <t>Báo cáo thực hành</t>
        </is>
      </c>
      <c r="N157" s="13" t="inlineStr">
        <is>
          <t>Ứng dụng các kỹ thuật phân tích và truy xuất dữ liệu lớn phục vụ học tập và nghiên cứu.</t>
        </is>
      </c>
    </row>
    <row r="158" ht="52.8" customHeight="1" s="16">
      <c r="A158" s="12" t="n">
        <v>40</v>
      </c>
      <c r="B158" s="13" t="inlineStr">
        <is>
          <t>Trực quan hóa và kể chuyện với dữ liệu</t>
        </is>
      </c>
      <c r="C158" s="12" t="inlineStr">
        <is>
          <t>111245</t>
        </is>
      </c>
      <c r="D158" s="12" t="n">
        <v>3</v>
      </c>
      <c r="E158" s="13" t="inlineStr">
        <is>
          <t>Chuyên ngành</t>
        </is>
      </c>
      <c r="F158" s="12" t="inlineStr">
        <is>
          <t>III</t>
        </is>
      </c>
      <c r="G158" s="12" t="inlineStr">
        <is>
          <t>3.1</t>
        </is>
      </c>
      <c r="H158" s="13" t="inlineStr">
        <is>
          <t>Phát triển nội dung số</t>
        </is>
      </c>
      <c r="I158" s="12" t="inlineStr">
        <is>
          <t>Mức 5</t>
        </is>
      </c>
      <c r="J158" s="12" t="inlineStr">
        <is>
          <t>CLO1</t>
        </is>
      </c>
      <c r="K158" s="13" t="inlineStr">
        <is>
          <t>Vận dụng các nguyên tắc thiết kế trực quan và thư viện Matplotlib/Seaborn/Plotly để xây dựng biểu đồ chuyên nghiệp.</t>
        </is>
      </c>
      <c r="L158" s="12" t="inlineStr">
        <is>
          <t>PI 3.4</t>
        </is>
      </c>
      <c r="M158" s="13" t="inlineStr">
        <is>
          <t>Bài tập thiết kế</t>
        </is>
      </c>
      <c r="N158" s="13" t="inlineStr">
        <is>
          <t>Rèn luyện tư duy lập trình tối ưu, chuẩn Clean Code và tuân thủ bản quyền phần mềm.</t>
        </is>
      </c>
    </row>
    <row r="159" ht="52.8" customHeight="1" s="16">
      <c r="A159" s="12" t="n">
        <v>40</v>
      </c>
      <c r="B159" s="13" t="inlineStr">
        <is>
          <t>Trực quan hóa và kể chuyện với dữ liệu</t>
        </is>
      </c>
      <c r="C159" s="12" t="inlineStr">
        <is>
          <t>111245</t>
        </is>
      </c>
      <c r="D159" s="12" t="n">
        <v>3</v>
      </c>
      <c r="E159" s="13" t="inlineStr">
        <is>
          <t>Chuyên ngành</t>
        </is>
      </c>
      <c r="F159" s="12" t="inlineStr">
        <is>
          <t>III</t>
        </is>
      </c>
      <c r="G159" s="12" t="inlineStr">
        <is>
          <t>3.1</t>
        </is>
      </c>
      <c r="H159" s="13" t="inlineStr">
        <is>
          <t>Phát triển nội dung số</t>
        </is>
      </c>
      <c r="I159" s="12" t="inlineStr">
        <is>
          <t>Mức 5</t>
        </is>
      </c>
      <c r="J159" s="12" t="inlineStr">
        <is>
          <t>CLO2</t>
        </is>
      </c>
      <c r="K159" s="13" t="inlineStr">
        <is>
          <t>Thiết kế Dashboard tương tác và xây dựng mạch truyện kể từ dữ liệu (Data Story) phục vụ truyền thông thông tin.</t>
        </is>
      </c>
      <c r="L159" s="12" t="inlineStr">
        <is>
          <t>PI 3.1</t>
        </is>
      </c>
      <c r="M159" s="13" t="inlineStr">
        <is>
          <t>Báo cáo đồ án</t>
        </is>
      </c>
      <c r="N159" s="13" t="inlineStr">
        <is>
          <t>Rèn luyện tư duy lập trình tối ưu, chuẩn Clean Code và tuân thủ bản quyền phần mềm.</t>
        </is>
      </c>
    </row>
    <row r="160" ht="39.6" customHeight="1" s="16">
      <c r="A160" s="12" t="n">
        <v>40</v>
      </c>
      <c r="B160" s="13" t="inlineStr">
        <is>
          <t>Trực quan hóa và kể chuyện với dữ liệu</t>
        </is>
      </c>
      <c r="C160" s="12" t="inlineStr">
        <is>
          <t>111245</t>
        </is>
      </c>
      <c r="D160" s="12" t="n">
        <v>3</v>
      </c>
      <c r="E160" s="13" t="inlineStr">
        <is>
          <t>Chuyên ngành</t>
        </is>
      </c>
      <c r="F160" s="12" t="inlineStr">
        <is>
          <t>II</t>
        </is>
      </c>
      <c r="G160" s="12" t="inlineStr">
        <is>
          <t>2.1</t>
        </is>
      </c>
      <c r="H160" s="13" t="inlineStr">
        <is>
          <t>Tương tác thông qua công nghệ số</t>
        </is>
      </c>
      <c r="I160" s="12" t="inlineStr">
        <is>
          <t>Mức 4</t>
        </is>
      </c>
      <c r="J160" s="12" t="inlineStr">
        <is>
          <t>CLO3</t>
        </is>
      </c>
      <c r="K160" s="13" t="inlineStr">
        <is>
          <t>Thuyết trình và truyền đạt kết quả phân tích số liệu phức tạp một cách trực quan, dễ hiểu cho người nghe.</t>
        </is>
      </c>
      <c r="L160" s="12" t="inlineStr">
        <is>
          <t>PI 3.2</t>
        </is>
      </c>
      <c r="M160" s="13" t="inlineStr">
        <is>
          <t>Thuyết trình</t>
        </is>
      </c>
      <c r="N160" s="13" t="inlineStr">
        <is>
          <t>Đẩy mạnh sử dụng nền tảng số (GitHub, Jira) để hợp tác và quản lý dự án nhóm.</t>
        </is>
      </c>
    </row>
    <row r="161" ht="39.6" customHeight="1" s="16">
      <c r="A161" s="12" t="n">
        <v>41</v>
      </c>
      <c r="B161" s="13" t="inlineStr">
        <is>
          <t>Generative AI &amp; AI Agents</t>
        </is>
      </c>
      <c r="C161" s="12" t="inlineStr">
        <is>
          <t>111246</t>
        </is>
      </c>
      <c r="D161" s="12" t="n">
        <v>3</v>
      </c>
      <c r="E161" s="13" t="inlineStr">
        <is>
          <t>Chuyên ngành</t>
        </is>
      </c>
      <c r="F161" s="12" t="inlineStr">
        <is>
          <t>VI</t>
        </is>
      </c>
      <c r="G161" s="12" t="inlineStr">
        <is>
          <t>6.1</t>
        </is>
      </c>
      <c r="H161" s="13" t="inlineStr">
        <is>
          <t>Hiểu biết về AI (trong đó có GenAI)</t>
        </is>
      </c>
      <c r="I161" s="12" t="inlineStr">
        <is>
          <t>Mức 5</t>
        </is>
      </c>
      <c r="J161" s="12" t="inlineStr">
        <is>
          <t>CLO1</t>
        </is>
      </c>
      <c r="K161" s="13" t="inlineStr">
        <is>
          <t>Phân tích nguyên lý hoạt động của Mô hình ngôn ngữ lớn (LLMs), cơ chế RAG và hệ thống Multi-Agent thông minh.</t>
        </is>
      </c>
      <c r="L161" s="12" t="inlineStr">
        <is>
          <t>PI 1.4</t>
        </is>
      </c>
      <c r="M161" s="13" t="inlineStr">
        <is>
          <t>Trắc nghiệm / Vấn đáp</t>
        </is>
      </c>
      <c r="N161" s="13" t="inlineStr">
        <is>
          <t>Tích hợp xu hướng Vibe Coding và khai thác trợ lý AI có trách nhiệm, chuẩn mực.</t>
        </is>
      </c>
    </row>
    <row r="162" ht="39.6" customHeight="1" s="16">
      <c r="A162" s="12" t="n">
        <v>41</v>
      </c>
      <c r="B162" s="13" t="inlineStr">
        <is>
          <t>Generative AI &amp; AI Agents</t>
        </is>
      </c>
      <c r="C162" s="12" t="inlineStr">
        <is>
          <t>111246</t>
        </is>
      </c>
      <c r="D162" s="12" t="n">
        <v>3</v>
      </c>
      <c r="E162" s="13" t="inlineStr">
        <is>
          <t>Chuyên ngành</t>
        </is>
      </c>
      <c r="F162" s="12" t="inlineStr">
        <is>
          <t>VI</t>
        </is>
      </c>
      <c r="G162" s="12" t="inlineStr">
        <is>
          <t>6.2</t>
        </is>
      </c>
      <c r="H162" s="13" t="inlineStr">
        <is>
          <t>Sử dụng AI có đạo đức và trách nhiệm</t>
        </is>
      </c>
      <c r="I162" s="12" t="inlineStr">
        <is>
          <t>Mức 5</t>
        </is>
      </c>
      <c r="J162" s="12" t="inlineStr">
        <is>
          <t>CLO2</t>
        </is>
      </c>
      <c r="K162" s="13" t="inlineStr">
        <is>
          <t>Thiết kế Prompt nâng cao và lập trình hệ thống AI Agents tự động giải quyết công việc qua LangChain/CrewAI.</t>
        </is>
      </c>
      <c r="L162" s="12" t="inlineStr">
        <is>
          <t>PI 2.4</t>
        </is>
      </c>
      <c r="M162" s="13" t="inlineStr">
        <is>
          <t>Đồ án sản phẩm AI</t>
        </is>
      </c>
      <c r="N162" s="13" t="inlineStr">
        <is>
          <t>Tích hợp xu hướng Vibe Coding và khai thác trợ lý AI có trách nhiệm, chuẩn mực.</t>
        </is>
      </c>
    </row>
    <row r="163" ht="39.6" customHeight="1" s="16">
      <c r="A163" s="12" t="n">
        <v>41</v>
      </c>
      <c r="B163" s="13" t="inlineStr">
        <is>
          <t>Generative AI &amp; AI Agents</t>
        </is>
      </c>
      <c r="C163" s="12" t="inlineStr">
        <is>
          <t>111246</t>
        </is>
      </c>
      <c r="D163" s="12" t="n">
        <v>3</v>
      </c>
      <c r="E163" s="13" t="inlineStr">
        <is>
          <t>Chuyên ngành</t>
        </is>
      </c>
      <c r="F163" s="12" t="inlineStr">
        <is>
          <t>VI</t>
        </is>
      </c>
      <c r="G163" s="12" t="inlineStr">
        <is>
          <t>6.3</t>
        </is>
      </c>
      <c r="H163" s="13" t="inlineStr">
        <is>
          <t>Đánh giá các công cụ AI</t>
        </is>
      </c>
      <c r="I163" s="12" t="inlineStr">
        <is>
          <t>Mức 4</t>
        </is>
      </c>
      <c r="J163" s="12" t="inlineStr">
        <is>
          <t>CLO3</t>
        </is>
      </c>
      <c r="K163" s="13" t="inlineStr">
        <is>
          <t>Đánh giá độ tin cậy, kiểm soát ảo giác (hallucination) và thực thi chuẩn mực đạo đức khi ứng dụng GenAI.</t>
        </is>
      </c>
      <c r="L163" s="12" t="inlineStr">
        <is>
          <t>PI 4.1</t>
        </is>
      </c>
      <c r="M163" s="13" t="inlineStr">
        <is>
          <t>Báo cáo đánh giá mô hình</t>
        </is>
      </c>
      <c r="N163" s="13" t="inlineStr">
        <is>
          <t>Tích hợp xu hướng Vibe Coding và khai thác trợ lý AI có trách nhiệm, chuẩn mực.</t>
        </is>
      </c>
    </row>
    <row r="164" ht="39.6" customHeight="1" s="16">
      <c r="A164" s="12" t="n">
        <v>42</v>
      </c>
      <c r="B164" s="13" t="inlineStr">
        <is>
          <t>Software Verification, Validation, and Testing</t>
        </is>
      </c>
      <c r="C164" s="12" t="inlineStr">
        <is>
          <t>199005</t>
        </is>
      </c>
      <c r="D164" s="12" t="n">
        <v>3</v>
      </c>
      <c r="E164" s="13" t="inlineStr">
        <is>
          <t>Chuyên ngành</t>
        </is>
      </c>
      <c r="F164" s="12" t="inlineStr">
        <is>
          <t>II</t>
        </is>
      </c>
      <c r="G164" s="12" t="inlineStr">
        <is>
          <t>2.2</t>
        </is>
      </c>
      <c r="H164" s="13" t="inlineStr">
        <is>
          <t>Chia sẻ thông tin và nội dung thông qua công nghệ số</t>
        </is>
      </c>
      <c r="I164" s="12" t="inlineStr">
        <is>
          <t>Mức 4</t>
        </is>
      </c>
      <c r="J164" s="12" t="inlineStr">
        <is>
          <t>CLO1</t>
        </is>
      </c>
      <c r="K164" s="13" t="inlineStr">
        <is>
          <t>Viết báo cáo trình bày nội dung các công việc đã thực hiện bằng văn bản một cách hợp lý và đúng quy định về định đạng</t>
        </is>
      </c>
      <c r="L164" s="12" t="inlineStr">
        <is>
          <t>PI 3.1</t>
        </is>
      </c>
      <c r="M164" s="13" t="inlineStr">
        <is>
          <t>Report (Check list)</t>
        </is>
      </c>
      <c r="N164" s="13" t="inlineStr">
        <is>
          <t>Đẩy mạnh sử dụng nền tảng số (GitHub, Jira) để hợp tác và quản lý dự án nhóm.</t>
        </is>
      </c>
    </row>
    <row r="165" ht="52.8" customHeight="1" s="16">
      <c r="A165" s="12" t="n">
        <v>42</v>
      </c>
      <c r="B165" s="13" t="inlineStr">
        <is>
          <t>Software Verification, Validation, and Testing</t>
        </is>
      </c>
      <c r="C165" s="12" t="inlineStr">
        <is>
          <t>199005</t>
        </is>
      </c>
      <c r="D165" s="12" t="n">
        <v>3</v>
      </c>
      <c r="E165" s="13" t="inlineStr">
        <is>
          <t>Chuyên ngành</t>
        </is>
      </c>
      <c r="F165" s="12" t="inlineStr">
        <is>
          <t>V</t>
        </is>
      </c>
      <c r="G165" s="12" t="inlineStr">
        <is>
          <t>5.1</t>
        </is>
      </c>
      <c r="H165" s="13" t="inlineStr">
        <is>
          <t>Giải quyết các vấn đề kỹ thuật</t>
        </is>
      </c>
      <c r="I165" s="12" t="inlineStr">
        <is>
          <t>Mức 4</t>
        </is>
      </c>
      <c r="J165" s="12" t="inlineStr">
        <is>
          <t>CLO2</t>
        </is>
      </c>
      <c r="K165" s="13" t="inlineStr">
        <is>
          <t>Thực hiện các bài kiểm thử để kiểm tra các yêu cầu chức năng phù hợp với các mục tiêu dự án</t>
        </is>
      </c>
      <c r="L165" s="12" t="inlineStr">
        <is>
          <t>PI 4.1</t>
        </is>
      </c>
      <c r="M165" s="13" t="inlineStr">
        <is>
          <t>Report (Check list)</t>
        </is>
      </c>
      <c r="N165" s="13" t="inlineStr">
        <is>
          <t>Áp dụng phương pháp luận kỹ thuật hiện đại (Agile, CDIO) giải quyết bài toán thực tiễn.</t>
        </is>
      </c>
    </row>
    <row r="166" ht="52.8" customHeight="1" s="16">
      <c r="A166" s="12" t="n">
        <v>42</v>
      </c>
      <c r="B166" s="13" t="inlineStr">
        <is>
          <t>Software Verification, Validation, and Testing</t>
        </is>
      </c>
      <c r="C166" s="12" t="inlineStr">
        <is>
          <t>199005</t>
        </is>
      </c>
      <c r="D166" s="12" t="n">
        <v>3</v>
      </c>
      <c r="E166" s="13" t="inlineStr">
        <is>
          <t>Chuyên ngành</t>
        </is>
      </c>
      <c r="F166" s="12" t="inlineStr">
        <is>
          <t>V</t>
        </is>
      </c>
      <c r="G166" s="12" t="inlineStr">
        <is>
          <t>5.1</t>
        </is>
      </c>
      <c r="H166" s="13" t="inlineStr">
        <is>
          <t>Giải quyết các vấn đề kỹ thuật</t>
        </is>
      </c>
      <c r="I166" s="12" t="inlineStr">
        <is>
          <t>Mức 5</t>
        </is>
      </c>
      <c r="J166" s="12" t="inlineStr">
        <is>
          <t>CLO3</t>
        </is>
      </c>
      <c r="K166" s="13" t="inlineStr">
        <is>
          <t>Đo lường các kết quả thu được trong quá trình kiểm thử để đánh giá các chức năng đã xây dựng</t>
        </is>
      </c>
      <c r="L166" s="12" t="inlineStr">
        <is>
          <t>PI 4.2</t>
        </is>
      </c>
      <c r="M166" s="13" t="inlineStr">
        <is>
          <t>Report (Check list)</t>
        </is>
      </c>
      <c r="N166" s="13" t="inlineStr">
        <is>
          <t>Áp dụng phương pháp luận kỹ thuật hiện đại (Agile, CDIO) giải quyết bài toán thực tiễn.</t>
        </is>
      </c>
    </row>
    <row r="167" ht="39.6" customHeight="1" s="16">
      <c r="A167" s="12" t="n">
        <v>42</v>
      </c>
      <c r="B167" s="13" t="inlineStr">
        <is>
          <t>Software Verification, Validation, and Testing</t>
        </is>
      </c>
      <c r="C167" s="12" t="inlineStr">
        <is>
          <t>199005</t>
        </is>
      </c>
      <c r="D167" s="12" t="n">
        <v>3</v>
      </c>
      <c r="E167" s="13" t="inlineStr">
        <is>
          <t>Chuyên ngành</t>
        </is>
      </c>
      <c r="F167" s="12" t="inlineStr">
        <is>
          <t>II</t>
        </is>
      </c>
      <c r="G167" s="12" t="inlineStr">
        <is>
          <t>2.4</t>
        </is>
      </c>
      <c r="H167" s="13" t="inlineStr">
        <is>
          <t>Hợp tác thông qua công nghệ số</t>
        </is>
      </c>
      <c r="I167" s="12" t="inlineStr">
        <is>
          <t>Mức 4</t>
        </is>
      </c>
      <c r="J167" s="12" t="inlineStr">
        <is>
          <t>CLO4</t>
        </is>
      </c>
      <c r="K167" s="13" t="inlineStr">
        <is>
          <t>Sử dụng kỹ năng trong việc sắp xếp công việc cá nhân hoặc nhóm phù hợp với mục tiêu công việc đề ra</t>
        </is>
      </c>
      <c r="L167" s="12" t="inlineStr">
        <is>
          <t>PI 5.1</t>
        </is>
      </c>
      <c r="M167" s="13" t="inlineStr">
        <is>
          <t>Report (Check list)</t>
        </is>
      </c>
      <c r="N167" s="13" t="inlineStr">
        <is>
          <t>Đẩy mạnh sử dụng nền tảng số (GitHub, Jira) để hợp tác và quản lý dự án nhóm.</t>
        </is>
      </c>
    </row>
    <row r="168" ht="39.6" customHeight="1" s="16">
      <c r="A168" s="12" t="n">
        <v>43</v>
      </c>
      <c r="B168" s="13" t="inlineStr">
        <is>
          <t>Software Project, Process and Quality Management</t>
        </is>
      </c>
      <c r="C168" s="12" t="inlineStr">
        <is>
          <t>199006</t>
        </is>
      </c>
      <c r="D168" s="12" t="n">
        <v>3</v>
      </c>
      <c r="E168" s="13" t="inlineStr">
        <is>
          <t>Chuyên ngành</t>
        </is>
      </c>
      <c r="F168" s="12" t="inlineStr">
        <is>
          <t>II</t>
        </is>
      </c>
      <c r="G168" s="12" t="inlineStr">
        <is>
          <t>2.4</t>
        </is>
      </c>
      <c r="H168" s="13" t="inlineStr">
        <is>
          <t>Hợp tác thông qua công nghệ số</t>
        </is>
      </c>
      <c r="I168" s="12" t="inlineStr">
        <is>
          <t>Mức 4</t>
        </is>
      </c>
      <c r="J168" s="12" t="inlineStr">
        <is>
          <t>CLO1</t>
        </is>
      </c>
      <c r="K168" s="13" t="inlineStr">
        <is>
          <t>Lập kế hoạch, ước lượng chi phí và theo dõi tiến độ dự án phần mềm bằng công cụ quản trị số (Jira, Git).</t>
        </is>
      </c>
      <c r="L168" s="12" t="inlineStr">
        <is>
          <t>PI 5.1</t>
        </is>
      </c>
      <c r="M168" s="13" t="inlineStr">
        <is>
          <t>Bài tập dự án nhóm</t>
        </is>
      </c>
      <c r="N168" s="13" t="inlineStr">
        <is>
          <t>Đẩy mạnh sử dụng nền tảng số (GitHub, Jira) để hợp tác và quản lý dự án nhóm.</t>
        </is>
      </c>
    </row>
    <row r="169" ht="52.8" customHeight="1" s="16">
      <c r="A169" s="12" t="n">
        <v>43</v>
      </c>
      <c r="B169" s="13" t="inlineStr">
        <is>
          <t>Software Project, Process and Quality Management</t>
        </is>
      </c>
      <c r="C169" s="12" t="inlineStr">
        <is>
          <t>199006</t>
        </is>
      </c>
      <c r="D169" s="12" t="n">
        <v>3</v>
      </c>
      <c r="E169" s="13" t="inlineStr">
        <is>
          <t>Chuyên ngành</t>
        </is>
      </c>
      <c r="F169" s="12" t="inlineStr">
        <is>
          <t>V</t>
        </is>
      </c>
      <c r="G169" s="12" t="inlineStr">
        <is>
          <t>5.2</t>
        </is>
      </c>
      <c r="H169" s="13" t="inlineStr">
        <is>
          <t>Xác định nhu cầu và giải pháp công nghệ</t>
        </is>
      </c>
      <c r="I169" s="12" t="inlineStr">
        <is>
          <t>Mức 5</t>
        </is>
      </c>
      <c r="J169" s="12" t="inlineStr">
        <is>
          <t>CLO2</t>
        </is>
      </c>
      <c r="K169" s="13" t="inlineStr">
        <is>
          <t>Áp dụng các mô hình quy trình phần mềm (Agile/Scrum, CMMI) và xây dựng kế hoạch quản lý rủi ro dự án.</t>
        </is>
      </c>
      <c r="L169" s="12" t="inlineStr">
        <is>
          <t>PI 5.3</t>
        </is>
      </c>
      <c r="M169" s="13" t="inlineStr">
        <is>
          <t>Đồ án môn học</t>
        </is>
      </c>
      <c r="N169" s="13" t="inlineStr">
        <is>
          <t>Áp dụng phương pháp luận kỹ thuật hiện đại (Agile, CDIO) giải quyết bài toán thực tiễn.</t>
        </is>
      </c>
    </row>
    <row r="170" ht="52.8" customHeight="1" s="16">
      <c r="A170" s="12" t="n">
        <v>43</v>
      </c>
      <c r="B170" s="13" t="inlineStr">
        <is>
          <t>Software Project, Process and Quality Management</t>
        </is>
      </c>
      <c r="C170" s="12" t="inlineStr">
        <is>
          <t>199006</t>
        </is>
      </c>
      <c r="D170" s="12" t="n">
        <v>3</v>
      </c>
      <c r="E170" s="13" t="inlineStr">
        <is>
          <t>Chuyên ngành</t>
        </is>
      </c>
      <c r="F170" s="12" t="inlineStr">
        <is>
          <t>V</t>
        </is>
      </c>
      <c r="G170" s="12" t="inlineStr">
        <is>
          <t>5.1</t>
        </is>
      </c>
      <c r="H170" s="13" t="inlineStr">
        <is>
          <t>Giải quyết các vấn đề kỹ thuật</t>
        </is>
      </c>
      <c r="I170" s="12" t="inlineStr">
        <is>
          <t>Mức 4</t>
        </is>
      </c>
      <c r="J170" s="12" t="inlineStr">
        <is>
          <t>CLO3</t>
        </is>
      </c>
      <c r="K170" s="13" t="inlineStr">
        <is>
          <t>Thực hiện quy trình đảm bảo chất lượng (QA) và quản lý cấu hình trong suốt vòng đời dự án phần mềm.</t>
        </is>
      </c>
      <c r="L170" s="12" t="inlineStr">
        <is>
          <t>PI 4.1</t>
        </is>
      </c>
      <c r="M170" s="13" t="inlineStr">
        <is>
          <t>Báo cáo kiểm soát chất lượng</t>
        </is>
      </c>
      <c r="N170" s="13" t="inlineStr">
        <is>
          <t>Áp dụng phương pháp luận kỹ thuật hiện đại (Agile, CDIO) giải quyết bài toán thực tiễn.</t>
        </is>
      </c>
    </row>
    <row r="171" ht="52.8" customHeight="1" s="16">
      <c r="A171" s="12" t="n">
        <v>44</v>
      </c>
      <c r="B171" s="13" t="inlineStr">
        <is>
          <t>Software Integration and Engineering</t>
        </is>
      </c>
      <c r="C171" s="12" t="inlineStr">
        <is>
          <t>199007</t>
        </is>
      </c>
      <c r="D171" s="12" t="n">
        <v>3</v>
      </c>
      <c r="E171" s="13" t="inlineStr">
        <is>
          <t>Chuyên ngành</t>
        </is>
      </c>
      <c r="F171" s="12" t="inlineStr">
        <is>
          <t>III</t>
        </is>
      </c>
      <c r="G171" s="12" t="inlineStr">
        <is>
          <t>3.4</t>
        </is>
      </c>
      <c r="H171" s="13" t="inlineStr">
        <is>
          <t>Lập trình</t>
        </is>
      </c>
      <c r="I171" s="12" t="inlineStr">
        <is>
          <t>Mức 5</t>
        </is>
      </c>
      <c r="J171" s="12" t="inlineStr">
        <is>
          <t>CLO1</t>
        </is>
      </c>
      <c r="K171" s="13" t="inlineStr">
        <is>
          <t>Thiết kế kiến trúc tích hợp hệ thống phần mềm dựa trên dịch vụ (SOA, REST/gRPC API) và thông điệp phân tán.</t>
        </is>
      </c>
      <c r="L171" s="12" t="inlineStr">
        <is>
          <t>PI 2.2</t>
        </is>
      </c>
      <c r="M171" s="13" t="inlineStr">
        <is>
          <t>Đồ án tích hợp</t>
        </is>
      </c>
      <c r="N171" s="13" t="inlineStr">
        <is>
          <t>Rèn luyện tư duy lập trình tối ưu, chuẩn Clean Code và tuân thủ bản quyền phần mềm.</t>
        </is>
      </c>
    </row>
    <row r="172" ht="52.8" customHeight="1" s="16">
      <c r="A172" s="12" t="n">
        <v>44</v>
      </c>
      <c r="B172" s="13" t="inlineStr">
        <is>
          <t>Software Integration and Engineering</t>
        </is>
      </c>
      <c r="C172" s="12" t="inlineStr">
        <is>
          <t>199007</t>
        </is>
      </c>
      <c r="D172" s="12" t="n">
        <v>3</v>
      </c>
      <c r="E172" s="13" t="inlineStr">
        <is>
          <t>Chuyên ngành</t>
        </is>
      </c>
      <c r="F172" s="12" t="inlineStr">
        <is>
          <t>IV</t>
        </is>
      </c>
      <c r="G172" s="12" t="inlineStr">
        <is>
          <t>4.2</t>
        </is>
      </c>
      <c r="H172" s="13" t="inlineStr">
        <is>
          <t>Bảo vệ dữ liệu cá nhân và quyền riêng tư</t>
        </is>
      </c>
      <c r="I172" s="12" t="inlineStr">
        <is>
          <t>Mức 5</t>
        </is>
      </c>
      <c r="J172" s="12" t="inlineStr">
        <is>
          <t>CLO2</t>
        </is>
      </c>
      <c r="K172" s="13" t="inlineStr">
        <is>
          <t>Triển khai, cấu hình và gỡ lỗi các thành phần tích hợp đảm bảo tính đồng bộ dữ liệu và bảo mật hệ thống.</t>
        </is>
      </c>
      <c r="L172" s="12" t="inlineStr">
        <is>
          <t>PI 2.6</t>
        </is>
      </c>
      <c r="M172" s="13" t="inlineStr">
        <is>
          <t>Báo cáo kỹ thuật</t>
        </is>
      </c>
      <c r="N172" s="13" t="inlineStr">
        <is>
          <t>Tăng cường nhận thức bảo mật, cấu hình an toàn hệ thống và bảo vệ dữ liệu người dùng.</t>
        </is>
      </c>
    </row>
    <row r="173" ht="52.8" customHeight="1" s="16">
      <c r="A173" s="12" t="n">
        <v>45</v>
      </c>
      <c r="B173" s="13" t="inlineStr">
        <is>
          <t>Technology Entrepreneurship</t>
        </is>
      </c>
      <c r="C173" s="12" t="inlineStr">
        <is>
          <t>199008</t>
        </is>
      </c>
      <c r="D173" s="12" t="n">
        <v>3</v>
      </c>
      <c r="E173" s="13" t="inlineStr">
        <is>
          <t>Chuyên ngành</t>
        </is>
      </c>
      <c r="F173" s="12" t="inlineStr">
        <is>
          <t>V</t>
        </is>
      </c>
      <c r="G173" s="12" t="inlineStr">
        <is>
          <t>5.2</t>
        </is>
      </c>
      <c r="H173" s="13" t="inlineStr">
        <is>
          <t>Xác định nhu cầu và giải pháp công nghệ</t>
        </is>
      </c>
      <c r="I173" s="12" t="inlineStr">
        <is>
          <t>Mức 4</t>
        </is>
      </c>
      <c r="J173" s="12" t="inlineStr">
        <is>
          <t>CLO1</t>
        </is>
      </c>
      <c r="K173" s="13" t="inlineStr">
        <is>
          <t>Khảo sát thị trường, phát hiện vấn đề thực tiễn và đề xuất giải pháp công nghệ số có tính khả thi thương mại.</t>
        </is>
      </c>
      <c r="L173" s="12" t="inlineStr">
        <is>
          <t>PI 2.1</t>
        </is>
      </c>
      <c r="M173" s="13" t="inlineStr">
        <is>
          <t>Đề án khởi nghiệp</t>
        </is>
      </c>
      <c r="N173" s="13" t="inlineStr">
        <is>
          <t>Áp dụng phương pháp luận kỹ thuật hiện đại (Agile, CDIO) giải quyết bài toán thực tiễn.</t>
        </is>
      </c>
    </row>
    <row r="174" ht="39.6" customHeight="1" s="16">
      <c r="A174" s="12" t="n">
        <v>45</v>
      </c>
      <c r="B174" s="13" t="inlineStr">
        <is>
          <t>Technology Entrepreneurship</t>
        </is>
      </c>
      <c r="C174" s="12" t="inlineStr">
        <is>
          <t>199008</t>
        </is>
      </c>
      <c r="D174" s="12" t="n">
        <v>3</v>
      </c>
      <c r="E174" s="13" t="inlineStr">
        <is>
          <t>Chuyên ngành</t>
        </is>
      </c>
      <c r="F174" s="12" t="inlineStr">
        <is>
          <t>II</t>
        </is>
      </c>
      <c r="G174" s="12" t="inlineStr">
        <is>
          <t>2.1</t>
        </is>
      </c>
      <c r="H174" s="13" t="inlineStr">
        <is>
          <t>Tương tác thông qua công nghệ số</t>
        </is>
      </c>
      <c r="I174" s="12" t="inlineStr">
        <is>
          <t>Mức 5</t>
        </is>
      </c>
      <c r="J174" s="12" t="inlineStr">
        <is>
          <t>CLO2</t>
        </is>
      </c>
      <c r="K174" s="13" t="inlineStr">
        <is>
          <t>Xây dựng sản phẩm số khả dụng tối thiểu (MVP) và thuyết trình gọi vốn/thuyết phục khách hàng (Pitching).</t>
        </is>
      </c>
      <c r="L174" s="12" t="inlineStr">
        <is>
          <t>PI 3.2</t>
        </is>
      </c>
      <c r="M174" s="13" t="inlineStr">
        <is>
          <t>Thuyết trình Pitching</t>
        </is>
      </c>
      <c r="N174" s="13" t="inlineStr">
        <is>
          <t>Đẩy mạnh sử dụng nền tảng số (GitHub, Jira) để hợp tác và quản lý dự án nhóm.</t>
        </is>
      </c>
    </row>
    <row r="175" ht="52.8" customHeight="1" s="16">
      <c r="A175" s="12" t="n">
        <v>46</v>
      </c>
      <c r="B175" s="13" t="inlineStr">
        <is>
          <t>Thực tập</t>
        </is>
      </c>
      <c r="C175" s="12" t="inlineStr">
        <is>
          <t>111192</t>
        </is>
      </c>
      <c r="D175" s="12" t="n">
        <v>6</v>
      </c>
      <c r="E175" s="13" t="inlineStr">
        <is>
          <t>Tốt nghiệp</t>
        </is>
      </c>
      <c r="F175" s="12" t="inlineStr">
        <is>
          <t>V</t>
        </is>
      </c>
      <c r="G175" s="12" t="inlineStr">
        <is>
          <t>5.2</t>
        </is>
      </c>
      <c r="H175" s="13" t="inlineStr">
        <is>
          <t>Xác định nhu cầu và giải pháp công nghệ</t>
        </is>
      </c>
      <c r="I175" s="12" t="inlineStr">
        <is>
          <t>Mức 5</t>
        </is>
      </c>
      <c r="J175" s="12" t="inlineStr">
        <is>
          <t>CLO1</t>
        </is>
      </c>
      <c r="K175" s="13" t="inlineStr">
        <is>
          <t>Ấp dụng các kỹ thuật thu thập thông tin (phỏng vấn, bảng câu hỏi, đọc tài liệu,...) để xác định các yêu cầu cho hệ thống thông tin</t>
        </is>
      </c>
      <c r="L175" s="12" t="inlineStr">
        <is>
          <t>PI 2.1</t>
        </is>
      </c>
      <c r="M175" s="13" t="inlineStr">
        <is>
          <t>Report (Rubric)</t>
        </is>
      </c>
      <c r="N175" s="13" t="inlineStr">
        <is>
          <t>Áp dụng phương pháp luận kỹ thuật hiện đại (Agile, CDIO) giải quyết bài toán thực tiễn.</t>
        </is>
      </c>
    </row>
    <row r="176" ht="39.6" customHeight="1" s="16">
      <c r="A176" s="12" t="n">
        <v>46</v>
      </c>
      <c r="B176" s="13" t="inlineStr">
        <is>
          <t>Thực tập</t>
        </is>
      </c>
      <c r="C176" s="12" t="inlineStr">
        <is>
          <t>111192</t>
        </is>
      </c>
      <c r="D176" s="12" t="n">
        <v>6</v>
      </c>
      <c r="E176" s="13" t="inlineStr">
        <is>
          <t>Tốt nghiệp</t>
        </is>
      </c>
      <c r="F176" s="12" t="inlineStr">
        <is>
          <t>II</t>
        </is>
      </c>
      <c r="G176" s="12" t="inlineStr">
        <is>
          <t>2.2</t>
        </is>
      </c>
      <c r="H176" s="13" t="inlineStr">
        <is>
          <t>Chia sẻ thông tin và nội dung thông qua công nghệ số</t>
        </is>
      </c>
      <c r="I176" s="12" t="inlineStr">
        <is>
          <t>Mức 5</t>
        </is>
      </c>
      <c r="J176" s="12" t="inlineStr">
        <is>
          <t>CLO2</t>
        </is>
      </c>
      <c r="K176" s="13" t="inlineStr">
        <is>
          <t>Viết báo cáo trình bày nội dung các công việc đã thực hiện bằng văn bản một cách hợp lý và đúng quy định về định đạng</t>
        </is>
      </c>
      <c r="L176" s="12" t="inlineStr">
        <is>
          <t>PI 3.1</t>
        </is>
      </c>
      <c r="M176" s="13" t="inlineStr">
        <is>
          <t>Report (Rubric)</t>
        </is>
      </c>
      <c r="N176" s="13" t="inlineStr">
        <is>
          <t>Đẩy mạnh sử dụng nền tảng số (GitHub, Jira) để hợp tác và quản lý dự án nhóm.</t>
        </is>
      </c>
    </row>
    <row r="177" ht="39.6" customHeight="1" s="16">
      <c r="A177" s="12" t="n">
        <v>46</v>
      </c>
      <c r="B177" s="13" t="inlineStr">
        <is>
          <t>Thực tập</t>
        </is>
      </c>
      <c r="C177" s="12" t="inlineStr">
        <is>
          <t>111192</t>
        </is>
      </c>
      <c r="D177" s="12" t="n">
        <v>6</v>
      </c>
      <c r="E177" s="13" t="inlineStr">
        <is>
          <t>Tốt nghiệp</t>
        </is>
      </c>
      <c r="F177" s="12" t="inlineStr">
        <is>
          <t>II</t>
        </is>
      </c>
      <c r="G177" s="12" t="inlineStr">
        <is>
          <t>2.1</t>
        </is>
      </c>
      <c r="H177" s="13" t="inlineStr">
        <is>
          <t>Tương tác thông qua công nghệ số</t>
        </is>
      </c>
      <c r="I177" s="12" t="inlineStr">
        <is>
          <t>Mức 5</t>
        </is>
      </c>
      <c r="J177" s="12" t="inlineStr">
        <is>
          <t>CLO3</t>
        </is>
      </c>
      <c r="K177" s="13" t="inlineStr">
        <is>
          <t>Trình bày được các công việc đã thực hiện bằng lời nói đáp ứng các tiêu chí đặt ra</t>
        </is>
      </c>
      <c r="L177" s="12" t="inlineStr">
        <is>
          <t>PI 3.2</t>
        </is>
      </c>
      <c r="M177" s="13" t="inlineStr">
        <is>
          <t>Report (Rubric)</t>
        </is>
      </c>
      <c r="N177" s="13" t="inlineStr">
        <is>
          <t>Đẩy mạnh sử dụng nền tảng số (GitHub, Jira) để hợp tác và quản lý dự án nhóm.</t>
        </is>
      </c>
    </row>
    <row r="178" ht="52.8" customHeight="1" s="16">
      <c r="A178" s="12" t="n">
        <v>46</v>
      </c>
      <c r="B178" s="13" t="inlineStr">
        <is>
          <t>Thực tập</t>
        </is>
      </c>
      <c r="C178" s="12" t="inlineStr">
        <is>
          <t>111192</t>
        </is>
      </c>
      <c r="D178" s="12" t="n">
        <v>6</v>
      </c>
      <c r="E178" s="13" t="inlineStr">
        <is>
          <t>Tốt nghiệp</t>
        </is>
      </c>
      <c r="F178" s="12" t="inlineStr">
        <is>
          <t>I</t>
        </is>
      </c>
      <c r="G178" s="12" t="inlineStr">
        <is>
          <t>1.1</t>
        </is>
      </c>
      <c r="H178" s="13" t="inlineStr">
        <is>
          <t>Duyệt, tìm kiếm và lọc dữ liệu, thông tin và nội dung số</t>
        </is>
      </c>
      <c r="I178" s="12" t="inlineStr">
        <is>
          <t>Mức 5</t>
        </is>
      </c>
      <c r="J178" s="12" t="inlineStr">
        <is>
          <t>CLO4</t>
        </is>
      </c>
      <c r="K178" s="13" t="inlineStr">
        <is>
          <t>Biết cách tìm kiếm và chọn lựa tài liệu sử dụng phù hợp để giải quyết các vấn đề đặt ra</t>
        </is>
      </c>
      <c r="L178" s="12" t="inlineStr">
        <is>
          <t>PI 3.3</t>
        </is>
      </c>
      <c r="M178" s="13" t="inlineStr">
        <is>
          <t>Report (Rubric)</t>
        </is>
      </c>
      <c r="N178" s="13" t="inlineStr">
        <is>
          <t>Ứng dụng các kỹ thuật phân tích và truy xuất dữ liệu lớn phục vụ học tập và nghiên cứu.</t>
        </is>
      </c>
    </row>
    <row r="179" ht="39.6" customHeight="1" s="16">
      <c r="A179" s="12" t="n">
        <v>46</v>
      </c>
      <c r="B179" s="13" t="inlineStr">
        <is>
          <t>Thực tập</t>
        </is>
      </c>
      <c r="C179" s="12" t="inlineStr">
        <is>
          <t>111192</t>
        </is>
      </c>
      <c r="D179" s="12" t="n">
        <v>6</v>
      </c>
      <c r="E179" s="13" t="inlineStr">
        <is>
          <t>Tốt nghiệp</t>
        </is>
      </c>
      <c r="F179" s="12" t="inlineStr">
        <is>
          <t>II</t>
        </is>
      </c>
      <c r="G179" s="12" t="inlineStr">
        <is>
          <t>2.4</t>
        </is>
      </c>
      <c r="H179" s="13" t="inlineStr">
        <is>
          <t>Hợp tác thông qua công nghệ số</t>
        </is>
      </c>
      <c r="I179" s="12" t="inlineStr">
        <is>
          <t>Mức 5</t>
        </is>
      </c>
      <c r="J179" s="12" t="inlineStr">
        <is>
          <t>CLO5</t>
        </is>
      </c>
      <c r="K179" s="13" t="inlineStr">
        <is>
          <t>Sử dụng kỹ năng trong việc sắp xếp công việc cá nhân hoặc nhóm phù hợp với mục tiêu công việc đề ra</t>
        </is>
      </c>
      <c r="L179" s="12" t="inlineStr">
        <is>
          <t>PI 5.1</t>
        </is>
      </c>
      <c r="M179" s="13" t="inlineStr">
        <is>
          <t>Report (Rubric)</t>
        </is>
      </c>
      <c r="N179" s="13" t="inlineStr">
        <is>
          <t>Đẩy mạnh sử dụng nền tảng số (GitHub, Jira) để hợp tác và quản lý dự án nhóm.</t>
        </is>
      </c>
    </row>
    <row r="180" ht="52.8" customHeight="1" s="16">
      <c r="A180" s="12" t="n">
        <v>47</v>
      </c>
      <c r="B180" s="13" t="inlineStr">
        <is>
          <t>Tốt nghiệp</t>
        </is>
      </c>
      <c r="C180" s="12" t="inlineStr">
        <is>
          <t>111193</t>
        </is>
      </c>
      <c r="D180" s="12" t="n">
        <v>8</v>
      </c>
      <c r="E180" s="13" t="inlineStr">
        <is>
          <t>Tốt nghiệp</t>
        </is>
      </c>
      <c r="F180" s="12" t="inlineStr">
        <is>
          <t>V</t>
        </is>
      </c>
      <c r="G180" s="12" t="inlineStr">
        <is>
          <t>5.2</t>
        </is>
      </c>
      <c r="H180" s="13" t="inlineStr">
        <is>
          <t>Xác định nhu cầu và giải pháp công nghệ</t>
        </is>
      </c>
      <c r="I180" s="12" t="inlineStr">
        <is>
          <t>Mức 5</t>
        </is>
      </c>
      <c r="J180" s="12" t="inlineStr">
        <is>
          <t>CLO1</t>
        </is>
      </c>
      <c r="K180" s="13" t="inlineStr">
        <is>
          <t>Áp dụng kiến thức thuộc khối kiến thức cơ sở ngành và chuyên ngành để giải quyết vấn đề CNTT đặt ra.</t>
        </is>
      </c>
      <c r="L180" s="12" t="inlineStr">
        <is>
          <t>PI 1.2</t>
        </is>
      </c>
      <c r="M180" s="13" t="inlineStr">
        <is>
          <t>Report (Rubric)</t>
        </is>
      </c>
      <c r="N180" s="13" t="inlineStr">
        <is>
          <t>Áp dụng phương pháp luận kỹ thuật hiện đại (Agile, CDIO) giải quyết bài toán thực tiễn.</t>
        </is>
      </c>
    </row>
    <row r="181" ht="52.8" customHeight="1" s="16">
      <c r="A181" s="12" t="n">
        <v>47</v>
      </c>
      <c r="B181" s="13" t="inlineStr">
        <is>
          <t>Tốt nghiệp</t>
        </is>
      </c>
      <c r="C181" s="12" t="inlineStr">
        <is>
          <t>111193</t>
        </is>
      </c>
      <c r="D181" s="12" t="n">
        <v>8</v>
      </c>
      <c r="E181" s="13" t="inlineStr">
        <is>
          <t>Tốt nghiệp</t>
        </is>
      </c>
      <c r="F181" s="12" t="inlineStr">
        <is>
          <t>V</t>
        </is>
      </c>
      <c r="G181" s="12" t="inlineStr">
        <is>
          <t>5.2</t>
        </is>
      </c>
      <c r="H181" s="13" t="inlineStr">
        <is>
          <t>Xác định nhu cầu và giải pháp công nghệ</t>
        </is>
      </c>
      <c r="I181" s="12" t="inlineStr">
        <is>
          <t>Mức 5</t>
        </is>
      </c>
      <c r="J181" s="12" t="inlineStr">
        <is>
          <t>CLO3</t>
        </is>
      </c>
      <c r="K181" s="13" t="inlineStr">
        <is>
          <t>Thiết kế mô hình triển khai hê thống thông tin theo quy mô của hệ thống</t>
        </is>
      </c>
      <c r="L181" s="12" t="inlineStr">
        <is>
          <t>PI 2.6</t>
        </is>
      </c>
      <c r="M181" s="13" t="inlineStr">
        <is>
          <t>Rubirc</t>
        </is>
      </c>
      <c r="N181" s="13" t="inlineStr">
        <is>
          <t>Áp dụng phương pháp luận kỹ thuật hiện đại (Agile, CDIO) giải quyết bài toán thực tiễn.</t>
        </is>
      </c>
    </row>
    <row r="182" ht="52.8" customHeight="1" s="16">
      <c r="A182" s="12" t="n">
        <v>47</v>
      </c>
      <c r="B182" s="13" t="inlineStr">
        <is>
          <t>Tốt nghiệp</t>
        </is>
      </c>
      <c r="C182" s="12" t="inlineStr">
        <is>
          <t>111193</t>
        </is>
      </c>
      <c r="D182" s="12" t="n">
        <v>8</v>
      </c>
      <c r="E182" s="13" t="inlineStr">
        <is>
          <t>Tốt nghiệp</t>
        </is>
      </c>
      <c r="F182" s="12" t="inlineStr">
        <is>
          <t>V</t>
        </is>
      </c>
      <c r="G182" s="12" t="inlineStr">
        <is>
          <t>5.2</t>
        </is>
      </c>
      <c r="H182" s="13" t="inlineStr">
        <is>
          <t>Xác định nhu cầu và giải pháp công nghệ</t>
        </is>
      </c>
      <c r="I182" s="12" t="inlineStr">
        <is>
          <t>Mức 5</t>
        </is>
      </c>
      <c r="J182" s="12" t="inlineStr">
        <is>
          <t>CLO2</t>
        </is>
      </c>
      <c r="K182" s="13" t="inlineStr">
        <is>
          <t>Ấp dụng các kỹ thuật thu thập thông tin (phỏng vấn, bảng câu hỏi, đọc tài liệu,...) để xác định các yêu cầu cho hệ thống thông tin</t>
        </is>
      </c>
      <c r="L182" s="12" t="inlineStr">
        <is>
          <t>PI 2.1</t>
        </is>
      </c>
      <c r="M182" s="13" t="inlineStr">
        <is>
          <t>Báo cáo / Thực hành</t>
        </is>
      </c>
      <c r="N182" s="13" t="inlineStr">
        <is>
          <t>Áp dụng phương pháp luận kỹ thuật hiện đại (Agile, CDIO) giải quyết bài toán thực tiễn.</t>
        </is>
      </c>
    </row>
    <row r="183" ht="52.8" customHeight="1" s="16">
      <c r="A183" s="12" t="n">
        <v>47</v>
      </c>
      <c r="B183" s="13" t="inlineStr">
        <is>
          <t>Tốt nghiệp</t>
        </is>
      </c>
      <c r="C183" s="12" t="inlineStr">
        <is>
          <t>111193</t>
        </is>
      </c>
      <c r="D183" s="12" t="n">
        <v>8</v>
      </c>
      <c r="E183" s="13" t="inlineStr">
        <is>
          <t>Tốt nghiệp</t>
        </is>
      </c>
      <c r="F183" s="12" t="inlineStr">
        <is>
          <t>I</t>
        </is>
      </c>
      <c r="G183" s="12" t="inlineStr">
        <is>
          <t>1.1</t>
        </is>
      </c>
      <c r="H183" s="13" t="inlineStr">
        <is>
          <t>Duyệt, tìm kiếm và lọc dữ liệu, thông tin và nội dung số</t>
        </is>
      </c>
      <c r="I183" s="12" t="inlineStr">
        <is>
          <t>Mức 5</t>
        </is>
      </c>
      <c r="J183" s="12" t="inlineStr">
        <is>
          <t>CLO6</t>
        </is>
      </c>
      <c r="K183" s="13" t="inlineStr">
        <is>
          <t>Biết cách tìm kiếm và chọn lựa tài liệu sử dụng phù hợp để giải quyết các vấn đề đặt ra</t>
        </is>
      </c>
      <c r="L183" s="12" t="inlineStr">
        <is>
          <t>PI 3.3</t>
        </is>
      </c>
      <c r="M183" s="13" t="inlineStr">
        <is>
          <t>report (Check list)</t>
        </is>
      </c>
      <c r="N183" s="13" t="inlineStr">
        <is>
          <t>Ứng dụng các kỹ thuật phân tích và truy xuất dữ liệu lớn phục vụ học tập và nghiên cứu.</t>
        </is>
      </c>
    </row>
    <row r="184" ht="39.6" customHeight="1" s="16">
      <c r="A184" s="12" t="n">
        <v>47</v>
      </c>
      <c r="B184" s="13" t="inlineStr">
        <is>
          <t>Tốt nghiệp</t>
        </is>
      </c>
      <c r="C184" s="12" t="inlineStr">
        <is>
          <t>111193</t>
        </is>
      </c>
      <c r="D184" s="12" t="n">
        <v>8</v>
      </c>
      <c r="E184" s="13" t="inlineStr">
        <is>
          <t>Tốt nghiệp</t>
        </is>
      </c>
      <c r="F184" s="12" t="inlineStr">
        <is>
          <t>II</t>
        </is>
      </c>
      <c r="G184" s="12" t="inlineStr">
        <is>
          <t>2.2</t>
        </is>
      </c>
      <c r="H184" s="13" t="inlineStr">
        <is>
          <t>Chia sẻ thông tin và nội dung thông qua công nghệ số</t>
        </is>
      </c>
      <c r="I184" s="12" t="inlineStr">
        <is>
          <t>Mức 5</t>
        </is>
      </c>
      <c r="J184" s="12" t="inlineStr">
        <is>
          <t>CLO4</t>
        </is>
      </c>
      <c r="K184" s="13" t="inlineStr">
        <is>
          <t>Viết báo cáo trình bày nội dung các công việc đã thực hiện bằng văn bản một cách hợp lý và đúng quy định về định đạng</t>
        </is>
      </c>
      <c r="L184" s="12" t="inlineStr">
        <is>
          <t>PI 3.1</t>
        </is>
      </c>
      <c r="M184" s="13" t="inlineStr">
        <is>
          <t>Báo cáo / Thực hành</t>
        </is>
      </c>
      <c r="N184" s="13" t="inlineStr">
        <is>
          <t>Đẩy mạnh sử dụng nền tảng số (GitHub, Jira) để hợp tác và quản lý dự án nhóm.</t>
        </is>
      </c>
    </row>
    <row r="185" ht="14.4" customHeight="1" s="16">
      <c r="A185" s="12" t="n"/>
      <c r="B185" s="13" t="n"/>
      <c r="C185" s="12" t="n"/>
      <c r="D185" s="12" t="n"/>
      <c r="E185" s="13" t="n"/>
      <c r="F185" s="12" t="n"/>
      <c r="G185" s="12" t="n"/>
      <c r="H185" s="13" t="n"/>
      <c r="I185" s="12" t="n"/>
      <c r="J185" s="12" t="n"/>
      <c r="K185" s="13" t="n"/>
      <c r="L185" s="12" t="n"/>
      <c r="M185" s="13" t="n"/>
      <c r="N185" s="13" t="n"/>
    </row>
    <row r="186" ht="14.4" customHeight="1" s="16">
      <c r="A186" s="1" t="n"/>
      <c r="B186" s="1" t="n"/>
      <c r="C186" s="1" t="n"/>
      <c r="D186" s="1" t="n"/>
      <c r="E186" s="1" t="n"/>
      <c r="F186" s="1" t="n"/>
      <c r="G186" s="1" t="n"/>
      <c r="H186" s="1" t="n"/>
      <c r="I186" s="1" t="n"/>
      <c r="J186" s="1" t="n"/>
      <c r="K186" s="1" t="n"/>
      <c r="L186" s="1" t="n"/>
      <c r="M186" s="1" t="n"/>
      <c r="N186" s="1" t="n"/>
    </row>
    <row r="187" ht="14.4" customHeight="1" s="16">
      <c r="A187" s="1" t="n"/>
      <c r="B187" s="1" t="n"/>
      <c r="C187" s="1" t="n"/>
      <c r="D187" s="1" t="n"/>
      <c r="E187" s="1" t="n"/>
      <c r="F187" s="1" t="n"/>
      <c r="G187" s="1" t="n"/>
      <c r="H187" s="1" t="n"/>
      <c r="I187" s="1" t="n"/>
      <c r="J187" s="1" t="n"/>
      <c r="K187" s="1" t="n"/>
      <c r="L187" s="1" t="n"/>
      <c r="M187" s="1" t="n"/>
      <c r="N187" s="1" t="n"/>
    </row>
    <row r="188" ht="14.4" customHeight="1" s="16">
      <c r="A188" s="1" t="n"/>
      <c r="B188" s="1" t="n"/>
      <c r="C188" s="1" t="n"/>
      <c r="D188" s="1" t="n"/>
      <c r="E188" s="1" t="n"/>
      <c r="F188" s="1" t="n"/>
      <c r="G188" s="1" t="n"/>
      <c r="H188" s="1" t="n"/>
      <c r="I188" s="1" t="n"/>
      <c r="J188" s="1" t="n"/>
      <c r="K188" s="1" t="n"/>
      <c r="L188" s="1" t="n"/>
      <c r="M188" s="1" t="n"/>
      <c r="N188" s="1" t="n"/>
    </row>
    <row r="189" ht="14.4" customHeight="1" s="16">
      <c r="A189" s="1" t="n"/>
      <c r="B189" s="1" t="n"/>
      <c r="C189" s="1" t="n"/>
      <c r="D189" s="1" t="n"/>
      <c r="E189" s="1" t="n"/>
      <c r="F189" s="1" t="n"/>
      <c r="G189" s="1" t="n"/>
      <c r="H189" s="1" t="n"/>
      <c r="I189" s="1" t="n"/>
      <c r="J189" s="1" t="n"/>
      <c r="K189" s="1" t="n"/>
      <c r="L189" s="1" t="n"/>
      <c r="M189" s="1" t="n"/>
      <c r="N189" s="1" t="n"/>
    </row>
    <row r="190" ht="14.4" customHeight="1" s="16">
      <c r="A190" s="1" t="n"/>
      <c r="B190" s="1" t="n"/>
      <c r="C190" s="1" t="n"/>
      <c r="D190" s="1" t="n"/>
      <c r="E190" s="1" t="n"/>
      <c r="F190" s="1" t="n"/>
      <c r="G190" s="1" t="n"/>
      <c r="H190" s="1" t="n"/>
      <c r="I190" s="1" t="n"/>
      <c r="J190" s="1" t="n"/>
      <c r="K190" s="1" t="n"/>
      <c r="L190" s="1" t="n"/>
      <c r="M190" s="1" t="n"/>
      <c r="N190" s="1" t="n"/>
    </row>
    <row r="191" ht="14.4" customHeight="1" s="16">
      <c r="A191" s="1" t="n"/>
      <c r="B191" s="1" t="n"/>
      <c r="C191" s="1" t="n"/>
      <c r="D191" s="1" t="n"/>
      <c r="E191" s="1" t="n"/>
      <c r="F191" s="1" t="n"/>
      <c r="G191" s="1" t="n"/>
      <c r="H191" s="1" t="n"/>
      <c r="I191" s="1" t="n"/>
      <c r="J191" s="1" t="n"/>
      <c r="K191" s="1" t="n"/>
      <c r="L191" s="1" t="n"/>
      <c r="M191" s="1" t="n"/>
      <c r="N191" s="1" t="n"/>
    </row>
    <row r="192" ht="14.4" customHeight="1" s="16">
      <c r="A192" s="1" t="n"/>
      <c r="B192" s="1" t="n"/>
      <c r="C192" s="1" t="n"/>
      <c r="D192" s="1" t="n"/>
      <c r="E192" s="1" t="n"/>
      <c r="F192" s="1" t="n"/>
      <c r="G192" s="1" t="n"/>
      <c r="H192" s="1" t="n"/>
      <c r="I192" s="1" t="n"/>
      <c r="J192" s="1" t="n"/>
      <c r="K192" s="1" t="n"/>
      <c r="L192" s="1" t="n"/>
      <c r="M192" s="1" t="n"/>
      <c r="N192" s="1" t="n"/>
    </row>
    <row r="193" ht="14.4" customHeight="1" s="16">
      <c r="A193" s="1" t="n"/>
      <c r="B193" s="1" t="n"/>
      <c r="C193" s="1" t="n"/>
      <c r="D193" s="1" t="n"/>
      <c r="E193" s="1" t="n"/>
      <c r="F193" s="1" t="n"/>
      <c r="G193" s="1" t="n"/>
      <c r="H193" s="1" t="n"/>
      <c r="I193" s="1" t="n"/>
      <c r="J193" s="1" t="n"/>
      <c r="K193" s="1" t="n"/>
      <c r="L193" s="1" t="n"/>
      <c r="M193" s="1" t="n"/>
      <c r="N193" s="1" t="n"/>
    </row>
    <row r="194" ht="14.4" customHeight="1" s="16">
      <c r="A194" s="1" t="n"/>
      <c r="B194" s="1" t="n"/>
      <c r="C194" s="1" t="n"/>
      <c r="D194" s="1" t="n"/>
      <c r="E194" s="1" t="n"/>
      <c r="F194" s="1" t="n"/>
      <c r="G194" s="1" t="n"/>
      <c r="H194" s="1" t="n"/>
      <c r="I194" s="1" t="n"/>
      <c r="J194" s="1" t="n"/>
      <c r="K194" s="1" t="n"/>
      <c r="L194" s="1" t="n"/>
      <c r="M194" s="1" t="n"/>
      <c r="N194" s="1" t="n"/>
    </row>
    <row r="195" ht="14.4" customHeight="1" s="16">
      <c r="A195" s="1" t="n"/>
      <c r="B195" s="1" t="n"/>
      <c r="C195" s="1" t="n"/>
      <c r="D195" s="1" t="n"/>
      <c r="E195" s="1" t="n"/>
      <c r="F195" s="1" t="n"/>
      <c r="G195" s="1" t="n"/>
      <c r="H195" s="1" t="n"/>
      <c r="I195" s="1" t="n"/>
      <c r="J195" s="1" t="n"/>
      <c r="K195" s="1" t="n"/>
      <c r="L195" s="1" t="n"/>
      <c r="M195" s="1" t="n"/>
      <c r="N195" s="1" t="n"/>
    </row>
    <row r="196" ht="14.4" customHeight="1" s="16">
      <c r="A196" s="1" t="n"/>
      <c r="B196" s="1" t="n"/>
      <c r="C196" s="1" t="n"/>
      <c r="D196" s="1" t="n"/>
      <c r="E196" s="1" t="n"/>
      <c r="F196" s="1" t="n"/>
      <c r="G196" s="1" t="n"/>
      <c r="H196" s="1" t="n"/>
      <c r="I196" s="1" t="n"/>
      <c r="J196" s="1" t="n"/>
      <c r="K196" s="1" t="n"/>
      <c r="L196" s="1" t="n"/>
      <c r="M196" s="1" t="n"/>
      <c r="N196" s="1" t="n"/>
    </row>
    <row r="197" ht="14.4" customHeight="1" s="16">
      <c r="A197" s="1" t="n"/>
      <c r="B197" s="1" t="n"/>
      <c r="C197" s="1" t="n"/>
      <c r="D197" s="1" t="n"/>
      <c r="E197" s="1" t="n"/>
      <c r="F197" s="1" t="n"/>
      <c r="G197" s="1" t="n"/>
      <c r="H197" s="1" t="n"/>
      <c r="I197" s="1" t="n"/>
      <c r="J197" s="1" t="n"/>
      <c r="K197" s="1" t="n"/>
      <c r="L197" s="1" t="n"/>
      <c r="M197" s="1" t="n"/>
      <c r="N197" s="1" t="n"/>
    </row>
    <row r="198" ht="14.4" customHeight="1" s="16">
      <c r="A198" s="1" t="n"/>
      <c r="B198" s="1" t="n"/>
      <c r="C198" s="1" t="n"/>
      <c r="D198" s="1" t="n"/>
      <c r="E198" s="1" t="n"/>
      <c r="F198" s="1" t="n"/>
      <c r="G198" s="1" t="n"/>
      <c r="H198" s="1" t="n"/>
      <c r="I198" s="1" t="n"/>
      <c r="J198" s="1" t="n"/>
      <c r="K198" s="1" t="n"/>
      <c r="L198" s="1" t="n"/>
      <c r="M198" s="1" t="n"/>
      <c r="N198" s="1" t="n"/>
    </row>
    <row r="199" ht="14.4" customHeight="1" s="16">
      <c r="A199" s="1" t="n"/>
      <c r="B199" s="1" t="n"/>
      <c r="C199" s="1" t="n"/>
      <c r="D199" s="1" t="n"/>
      <c r="E199" s="1" t="n"/>
      <c r="F199" s="1" t="n"/>
      <c r="G199" s="1" t="n"/>
      <c r="H199" s="1" t="n"/>
      <c r="I199" s="1" t="n"/>
      <c r="J199" s="1" t="n"/>
      <c r="K199" s="1" t="n"/>
      <c r="L199" s="1" t="n"/>
      <c r="M199" s="1" t="n"/>
      <c r="N199" s="1" t="n"/>
    </row>
    <row r="200" ht="14.4" customHeight="1" s="16">
      <c r="A200" s="1" t="n"/>
      <c r="B200" s="1" t="n"/>
      <c r="C200" s="1" t="n"/>
      <c r="D200" s="1" t="n"/>
      <c r="E200" s="1" t="n"/>
      <c r="F200" s="1" t="n"/>
      <c r="G200" s="1" t="n"/>
      <c r="H200" s="1" t="n"/>
      <c r="I200" s="1" t="n"/>
      <c r="J200" s="1" t="n"/>
      <c r="K200" s="1" t="n"/>
      <c r="L200" s="1" t="n"/>
      <c r="M200" s="1" t="n"/>
      <c r="N200" s="1" t="n"/>
    </row>
    <row r="201" ht="14.4" customHeight="1" s="16">
      <c r="A201" s="1" t="n"/>
      <c r="B201" s="1" t="n"/>
      <c r="C201" s="1" t="n"/>
      <c r="D201" s="1" t="n"/>
      <c r="E201" s="1" t="n"/>
      <c r="F201" s="1" t="n"/>
      <c r="G201" s="1" t="n"/>
      <c r="H201" s="1" t="n"/>
      <c r="I201" s="1" t="n"/>
      <c r="J201" s="1" t="n"/>
      <c r="K201" s="1" t="n"/>
      <c r="L201" s="1" t="n"/>
      <c r="M201" s="1" t="n"/>
      <c r="N201" s="1" t="n"/>
    </row>
    <row r="202" ht="14.4" customHeight="1" s="16">
      <c r="A202" s="1" t="n"/>
      <c r="B202" s="1" t="n"/>
      <c r="C202" s="1" t="n"/>
      <c r="D202" s="1" t="n"/>
      <c r="E202" s="1" t="n"/>
      <c r="F202" s="1" t="n"/>
      <c r="G202" s="1" t="n"/>
      <c r="H202" s="1" t="n"/>
      <c r="I202" s="1" t="n"/>
      <c r="J202" s="1" t="n"/>
      <c r="K202" s="1" t="n"/>
      <c r="L202" s="1" t="n"/>
      <c r="M202" s="1" t="n"/>
      <c r="N202" s="1" t="n"/>
    </row>
    <row r="203" ht="14.4" customHeight="1" s="16">
      <c r="A203" s="1" t="n"/>
      <c r="B203" s="1" t="n"/>
      <c r="C203" s="1" t="n"/>
      <c r="D203" s="1" t="n"/>
      <c r="E203" s="1" t="n"/>
      <c r="F203" s="1" t="n"/>
      <c r="G203" s="1" t="n"/>
      <c r="H203" s="1" t="n"/>
      <c r="I203" s="1" t="n"/>
      <c r="J203" s="1" t="n"/>
      <c r="K203" s="1" t="n"/>
      <c r="L203" s="1" t="n"/>
      <c r="M203" s="1" t="n"/>
      <c r="N203" s="1" t="n"/>
    </row>
    <row r="204" ht="14.4" customHeight="1" s="16">
      <c r="A204" s="1" t="n"/>
      <c r="B204" s="1" t="n"/>
      <c r="C204" s="1" t="n"/>
      <c r="D204" s="1" t="n"/>
      <c r="E204" s="1" t="n"/>
      <c r="F204" s="1" t="n"/>
      <c r="G204" s="1" t="n"/>
      <c r="H204" s="1" t="n"/>
      <c r="I204" s="1" t="n"/>
      <c r="J204" s="1" t="n"/>
      <c r="K204" s="1" t="n"/>
      <c r="L204" s="1" t="n"/>
      <c r="M204" s="1" t="n"/>
      <c r="N204" s="1" t="n"/>
    </row>
    <row r="205" ht="14.4" customHeight="1" s="16">
      <c r="A205" s="1" t="n"/>
      <c r="B205" s="1" t="n"/>
      <c r="C205" s="1" t="n"/>
      <c r="D205" s="1" t="n"/>
      <c r="E205" s="1" t="n"/>
      <c r="F205" s="1" t="n"/>
      <c r="G205" s="1" t="n"/>
      <c r="H205" s="1" t="n"/>
      <c r="I205" s="1" t="n"/>
      <c r="J205" s="1" t="n"/>
      <c r="K205" s="1" t="n"/>
      <c r="L205" s="1" t="n"/>
      <c r="M205" s="1" t="n"/>
      <c r="N205" s="1" t="n"/>
    </row>
    <row r="206" ht="14.4" customHeight="1" s="16">
      <c r="A206" s="1" t="n"/>
      <c r="B206" s="1" t="n"/>
      <c r="C206" s="1" t="n"/>
      <c r="D206" s="1" t="n"/>
      <c r="E206" s="1" t="n"/>
      <c r="F206" s="1" t="n"/>
      <c r="G206" s="1" t="n"/>
      <c r="H206" s="1" t="n"/>
      <c r="I206" s="1" t="n"/>
      <c r="J206" s="1" t="n"/>
      <c r="K206" s="1" t="n"/>
      <c r="L206" s="1" t="n"/>
      <c r="M206" s="1" t="n"/>
      <c r="N206" s="1" t="n"/>
    </row>
    <row r="207" ht="14.4" customHeight="1" s="16">
      <c r="A207" s="1" t="n"/>
      <c r="B207" s="1" t="n"/>
      <c r="C207" s="1" t="n"/>
      <c r="D207" s="1" t="n"/>
      <c r="E207" s="1" t="n"/>
      <c r="F207" s="1" t="n"/>
      <c r="G207" s="1" t="n"/>
      <c r="H207" s="1" t="n"/>
      <c r="I207" s="1" t="n"/>
      <c r="J207" s="1" t="n"/>
      <c r="K207" s="1" t="n"/>
      <c r="L207" s="1" t="n"/>
      <c r="M207" s="1" t="n"/>
      <c r="N207" s="1" t="n"/>
    </row>
    <row r="208" ht="14.4" customHeight="1" s="16">
      <c r="A208" s="1" t="n"/>
      <c r="B208" s="1" t="n"/>
      <c r="C208" s="1" t="n"/>
      <c r="D208" s="1" t="n"/>
      <c r="E208" s="1" t="n"/>
      <c r="F208" s="1" t="n"/>
      <c r="G208" s="1" t="n"/>
      <c r="H208" s="1" t="n"/>
      <c r="I208" s="1" t="n"/>
      <c r="J208" s="1" t="n"/>
      <c r="K208" s="1" t="n"/>
      <c r="L208" s="1" t="n"/>
      <c r="M208" s="1" t="n"/>
      <c r="N208" s="1" t="n"/>
    </row>
    <row r="209" ht="14.4" customHeight="1" s="16">
      <c r="A209" s="1" t="n"/>
      <c r="B209" s="1" t="n"/>
      <c r="C209" s="1" t="n"/>
      <c r="D209" s="1" t="n"/>
      <c r="E209" s="1" t="n"/>
      <c r="F209" s="1" t="n"/>
      <c r="G209" s="1" t="n"/>
      <c r="H209" s="1" t="n"/>
      <c r="I209" s="1" t="n"/>
      <c r="J209" s="1" t="n"/>
      <c r="K209" s="1" t="n"/>
      <c r="L209" s="1" t="n"/>
      <c r="M209" s="1" t="n"/>
      <c r="N209" s="1" t="n"/>
    </row>
    <row r="210" ht="14.4" customHeight="1" s="16">
      <c r="A210" s="1" t="n"/>
      <c r="B210" s="1" t="n"/>
      <c r="C210" s="1" t="n"/>
      <c r="D210" s="1" t="n"/>
      <c r="E210" s="1" t="n"/>
      <c r="F210" s="1" t="n"/>
      <c r="G210" s="1" t="n"/>
      <c r="H210" s="1" t="n"/>
      <c r="I210" s="1" t="n"/>
      <c r="J210" s="1" t="n"/>
      <c r="K210" s="1" t="n"/>
      <c r="L210" s="1" t="n"/>
      <c r="M210" s="1" t="n"/>
      <c r="N210" s="1" t="n"/>
    </row>
    <row r="211" ht="14.4" customHeight="1" s="16">
      <c r="A211" s="1" t="n"/>
      <c r="B211" s="1" t="n"/>
      <c r="C211" s="1" t="n"/>
      <c r="D211" s="1" t="n"/>
      <c r="E211" s="1" t="n"/>
      <c r="F211" s="1" t="n"/>
      <c r="G211" s="1" t="n"/>
      <c r="H211" s="1" t="n"/>
      <c r="I211" s="1" t="n"/>
      <c r="J211" s="1" t="n"/>
      <c r="K211" s="1" t="n"/>
      <c r="L211" s="1" t="n"/>
      <c r="M211" s="1" t="n"/>
      <c r="N211" s="1" t="n"/>
    </row>
    <row r="212" ht="14.4" customHeight="1" s="16">
      <c r="A212" s="1" t="n"/>
      <c r="B212" s="1" t="n"/>
      <c r="C212" s="1" t="n"/>
      <c r="D212" s="1" t="n"/>
      <c r="E212" s="1" t="n"/>
      <c r="F212" s="1" t="n"/>
      <c r="G212" s="1" t="n"/>
      <c r="H212" s="1" t="n"/>
      <c r="I212" s="1" t="n"/>
      <c r="J212" s="1" t="n"/>
      <c r="K212" s="1" t="n"/>
      <c r="L212" s="1" t="n"/>
      <c r="M212" s="1" t="n"/>
      <c r="N212" s="1" t="n"/>
    </row>
    <row r="213" ht="14.4" customHeight="1" s="16">
      <c r="A213" s="1" t="n"/>
      <c r="B213" s="1" t="n"/>
      <c r="C213" s="1" t="n"/>
      <c r="D213" s="1" t="n"/>
      <c r="E213" s="1" t="n"/>
      <c r="F213" s="1" t="n"/>
      <c r="G213" s="1" t="n"/>
      <c r="H213" s="1" t="n"/>
      <c r="I213" s="1" t="n"/>
      <c r="J213" s="1" t="n"/>
      <c r="K213" s="1" t="n"/>
      <c r="L213" s="1" t="n"/>
      <c r="M213" s="1" t="n"/>
      <c r="N213" s="1" t="n"/>
    </row>
    <row r="214" ht="14.4" customHeight="1" s="16">
      <c r="A214" s="1" t="n"/>
      <c r="B214" s="1" t="n"/>
      <c r="C214" s="1" t="n"/>
      <c r="D214" s="1" t="n"/>
      <c r="E214" s="1" t="n"/>
      <c r="F214" s="1" t="n"/>
      <c r="G214" s="1" t="n"/>
      <c r="H214" s="1" t="n"/>
      <c r="I214" s="1" t="n"/>
      <c r="J214" s="1" t="n"/>
      <c r="K214" s="1" t="n"/>
      <c r="L214" s="1" t="n"/>
      <c r="M214" s="1" t="n"/>
      <c r="N214" s="1" t="n"/>
    </row>
    <row r="215" ht="14.4" customHeight="1" s="16">
      <c r="A215" s="1" t="n"/>
      <c r="B215" s="1" t="n"/>
      <c r="C215" s="1" t="n"/>
      <c r="D215" s="1" t="n"/>
      <c r="E215" s="1" t="n"/>
      <c r="F215" s="1" t="n"/>
      <c r="G215" s="1" t="n"/>
      <c r="H215" s="1" t="n"/>
      <c r="I215" s="1" t="n"/>
      <c r="J215" s="1" t="n"/>
      <c r="K215" s="1" t="n"/>
      <c r="L215" s="1" t="n"/>
      <c r="M215" s="1" t="n"/>
      <c r="N215" s="1" t="n"/>
    </row>
    <row r="216" ht="14.4" customHeight="1" s="16">
      <c r="A216" s="1" t="n"/>
      <c r="B216" s="1" t="n"/>
      <c r="C216" s="1" t="n"/>
      <c r="D216" s="1" t="n"/>
      <c r="E216" s="1" t="n"/>
      <c r="F216" s="1" t="n"/>
      <c r="G216" s="1" t="n"/>
      <c r="H216" s="1" t="n"/>
      <c r="I216" s="1" t="n"/>
      <c r="J216" s="1" t="n"/>
      <c r="K216" s="1" t="n"/>
      <c r="L216" s="1" t="n"/>
      <c r="M216" s="1" t="n"/>
      <c r="N216" s="1" t="n"/>
    </row>
    <row r="217" ht="14.4" customHeight="1" s="16">
      <c r="A217" s="1" t="n"/>
      <c r="B217" s="1" t="n"/>
      <c r="C217" s="1" t="n"/>
      <c r="D217" s="1" t="n"/>
      <c r="E217" s="1" t="n"/>
      <c r="F217" s="1" t="n"/>
      <c r="G217" s="1" t="n"/>
      <c r="H217" s="1" t="n"/>
      <c r="I217" s="1" t="n"/>
      <c r="J217" s="1" t="n"/>
      <c r="K217" s="1" t="n"/>
      <c r="L217" s="1" t="n"/>
      <c r="M217" s="1" t="n"/>
      <c r="N217" s="1" t="n"/>
    </row>
    <row r="218" ht="14.4" customHeight="1" s="16">
      <c r="A218" s="1" t="n"/>
      <c r="B218" s="1" t="n"/>
      <c r="C218" s="1" t="n"/>
      <c r="D218" s="1" t="n"/>
      <c r="E218" s="1" t="n"/>
      <c r="F218" s="1" t="n"/>
      <c r="G218" s="1" t="n"/>
      <c r="H218" s="1" t="n"/>
      <c r="I218" s="1" t="n"/>
      <c r="J218" s="1" t="n"/>
      <c r="K218" s="1" t="n"/>
      <c r="L218" s="1" t="n"/>
      <c r="M218" s="1" t="n"/>
      <c r="N218" s="1" t="n"/>
    </row>
  </sheetData>
  <mergeCells count="11">
    <mergeCell ref="A1:H1"/>
    <mergeCell ref="F10:H10"/>
    <mergeCell ref="A3:H3"/>
    <mergeCell ref="A15:D15"/>
    <mergeCell ref="F8:H8"/>
    <mergeCell ref="A2:G2"/>
    <mergeCell ref="F9:H9"/>
    <mergeCell ref="F7:H7"/>
    <mergeCell ref="F12:H12"/>
    <mergeCell ref="F11:H11"/>
    <mergeCell ref="A5:G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6" customWidth="1" style="16" min="1" max="1"/>
    <col width="10" customWidth="1" style="16" min="2" max="2"/>
    <col width="26" customWidth="1" style="16" min="3" max="3"/>
    <col width="14" customWidth="1" style="16" min="4" max="4"/>
    <col width="18" customWidth="1" style="16" min="5" max="5"/>
    <col width="9" customWidth="1" style="16" min="6" max="6"/>
    <col width="38" customWidth="1" style="16" min="7" max="7"/>
    <col width="32" customWidth="1" style="16" min="8" max="8"/>
    <col width="38" customWidth="1" style="16" min="9" max="9"/>
    <col width="13" customWidth="1" style="16" min="10" max="10"/>
  </cols>
  <sheetData>
    <row r="1" ht="28" customHeight="1" s="16">
      <c r="A1" s="23" t="inlineStr">
        <is>
          <t>ĐỀ XUẤT NỘI DUNG CẦN BỔ SUNG &amp; HƯỚNG DẪN THU THẬP MINH CHỨNG ĐẠT KHUNG NĂNG LỰC SỐ</t>
        </is>
      </c>
    </row>
    <row r="2" ht="20" customHeight="1" s="16">
      <c r="A2" s="24" t="inlineStr">
        <is>
          <t>Căn cứ Thông tư 02/2025/TT-BGDĐT | Giải pháp nâng cao độ phủ các Miền NLS (đặc biệt Miền IV - An toàn số, Miền VI - AI &amp; Miền III - Bản quyền) cho CTDT CNTT 2026</t>
        </is>
      </c>
    </row>
    <row r="3"/>
    <row r="4" ht="36" customHeight="1" s="16">
      <c r="A4" s="25" t="inlineStr">
        <is>
          <t>STT</t>
        </is>
      </c>
      <c r="B4" s="25" t="inlineStr">
        <is>
          <t>Mã HP</t>
        </is>
      </c>
      <c r="C4" s="25" t="inlineStr">
        <is>
          <t>Tên Môn Học / Học Phần</t>
        </is>
      </c>
      <c r="D4" s="25" t="inlineStr">
        <is>
          <t>Khối Kiến Thức</t>
        </is>
      </c>
      <c r="E4" s="26" t="inlineStr">
        <is>
          <t>Miền NLS Cần Bổ Sung / Nâng Cấp</t>
        </is>
      </c>
      <c r="F4" s="26" t="inlineStr">
        <is>
          <t>Mã NLTP</t>
        </is>
      </c>
      <c r="G4" s="26" t="inlineStr">
        <is>
          <t>Nội Dung Cần Bổ Sung (Cần Phải Có)</t>
        </is>
      </c>
      <c r="H4" s="26" t="inlineStr">
        <is>
          <t>Hoạt Động Dạy &amp; Học Đề Xuất</t>
        </is>
      </c>
      <c r="I4" s="26" t="inlineStr">
        <is>
          <t>Cách Lấy Minh Chứng (Evidence Collection)</t>
        </is>
      </c>
      <c r="J4" s="25" t="inlineStr">
        <is>
          <t>Mức Độ Hướng Đến</t>
        </is>
      </c>
    </row>
    <row r="5" ht="58" customHeight="1" s="16">
      <c r="A5" s="27" t="n">
        <v>1</v>
      </c>
      <c r="B5" s="27" t="inlineStr">
        <is>
          <t>102112</t>
        </is>
      </c>
      <c r="C5" s="28" t="inlineStr">
        <is>
          <t>Tin học đại cương</t>
        </is>
      </c>
      <c r="D5" s="27" t="inlineStr">
        <is>
          <t>Đại cương</t>
        </is>
      </c>
      <c r="E5" s="29" t="inlineStr">
        <is>
          <t>Miền IV - An toàn số
Miền VI - Ứng dụng AI</t>
        </is>
      </c>
      <c r="F5" s="30" t="inlineStr">
        <is>
          <t>4.2
6.2</t>
        </is>
      </c>
      <c r="G5" s="28" t="inlineStr">
        <is>
          <t>• Kỹ năng nhận diện và phòng chống lừa đảo trực tuyến (Phishing, mã độc, bảo vệ mật khẩu, 2FA).
• Nguyên tắc sử dụng GenAI (ChatGPT/Gemini) có trách nhiệm, liêm chính học thuật và kiểm chứng nguồn tin.</t>
        </is>
      </c>
      <c r="H5" s="28" t="inlineStr">
        <is>
          <t>• Thực hành cấu hình xác thực 2 bước (2FA) cho tài khoản email/mạng xã hội.
• Bài tập so sánh câu trả lời của AI với giáo trình chuẩn để phát hiện ảo giác (hallucination).</t>
        </is>
      </c>
      <c r="I5" s="28" t="inlineStr">
        <is>
          <t>• Phiếu nộp bài tập có ảnh chụp màn hình kích hoạt 2FA thành công.
• Bài thu hoạch so sánh thông tin có kèm đường dẫn nguồn tra cứu đối chiếu.</t>
        </is>
      </c>
      <c r="J5" s="30" t="inlineStr">
        <is>
          <t>Mức 2</t>
        </is>
      </c>
    </row>
    <row r="6" ht="58" customHeight="1" s="16">
      <c r="A6" s="31" t="n">
        <v>2</v>
      </c>
      <c r="B6" s="31" t="inlineStr">
        <is>
          <t>111154</t>
        </is>
      </c>
      <c r="C6" s="32" t="inlineStr">
        <is>
          <t>Nhập môn ngành</t>
        </is>
      </c>
      <c r="D6" s="31" t="inlineStr">
        <is>
          <t>Cơ sở ngành</t>
        </is>
      </c>
      <c r="E6" s="33" t="inlineStr">
        <is>
          <t>Miền VI - Ứng dụng AI
Miền II - Quy tắc số</t>
        </is>
      </c>
      <c r="F6" s="30" t="inlineStr">
        <is>
          <t>6.1
2.5</t>
        </is>
      </c>
      <c r="G6" s="32" t="inlineStr">
        <is>
          <t>• Tổng quan tác động của AI/GenAI đến sự biến đổi của nghề nghiệp CNTT.
• Văn hóa ứng xử số, bản quyền tác giả và đạo đức nghề nghiệp của kỹ sư công nghệ.</t>
        </is>
      </c>
      <c r="H6" s="32" t="inlineStr">
        <is>
          <t>• Seminar thảo luận về cơ hội &amp; thách thức của AI đối với lập trình viên.
• Viết bài tham luận cá nhân về đạo đức nghề nghiệp CNTT.</t>
        </is>
      </c>
      <c r="I6" s="32" t="inlineStr">
        <is>
          <t>• Bài tham luận/tiểu luận cá nhân nộp qua LMS.
• Bản cam kết liêm chính học thuật và đạo đức số có chữ ký sinh viên.</t>
        </is>
      </c>
      <c r="J6" s="30" t="inlineStr">
        <is>
          <t>Mức 2 - Mức 3</t>
        </is>
      </c>
    </row>
    <row r="7" ht="58" customHeight="1" s="16">
      <c r="A7" s="27" t="n">
        <v>3</v>
      </c>
      <c r="B7" s="27" t="inlineStr">
        <is>
          <t>111155</t>
        </is>
      </c>
      <c r="C7" s="28" t="inlineStr">
        <is>
          <t>Nhập môn lập trình</t>
        </is>
      </c>
      <c r="D7" s="27" t="inlineStr">
        <is>
          <t>Cơ sở ngành</t>
        </is>
      </c>
      <c r="E7" s="29" t="inlineStr">
        <is>
          <t>Miền IV - An toàn số
Miền VI - Ứng dụng AI</t>
        </is>
      </c>
      <c r="F7" s="30" t="inlineStr">
        <is>
          <t>4.1
6.2</t>
        </is>
      </c>
      <c r="G7" s="28" t="inlineStr">
        <is>
          <t>• Khái niệm lập trình an toàn: kiểm soát tính hợp lệ dữ liệu nhập (Input Validation), xử lý ngoại lệ tránh crash chương trình.
• Dùng trợ lý AI hỗ trợ giải thích lỗi cú pháp và gợi ý hướng sửa (AI Debugging assistant).</t>
        </is>
      </c>
      <c r="H7" s="28" t="inlineStr">
        <is>
          <t>• Thực hành viết bộ test case kiểm thử các trường hợp dữ liệu biên nguy hiểm.
• Thực hành Prompting: Đưa lỗi cho AI phân tích, sau đó tự tay refactor lại mã nguồn.</t>
        </is>
      </c>
      <c r="I7" s="28" t="inlineStr">
        <is>
          <t>• Mã nguồn bài nộp có khối lệnh `try...except` và hàm kiểm tra dữ liệu đầu vào.
• File nhật ký (Prompt Log) ghi lại câu lệnh hỏi AI và các bước chỉnh sửa code.</t>
        </is>
      </c>
      <c r="J7" s="30" t="inlineStr">
        <is>
          <t>Mức 3</t>
        </is>
      </c>
    </row>
    <row r="8" ht="58" customHeight="1" s="16">
      <c r="A8" s="31" t="n">
        <v>4</v>
      </c>
      <c r="B8" s="31" t="inlineStr">
        <is>
          <t>111156</t>
        </is>
      </c>
      <c r="C8" s="32" t="inlineStr">
        <is>
          <t>Lắp ráp và tối ưu hệ thống máy tính</t>
        </is>
      </c>
      <c r="D8" s="31" t="inlineStr">
        <is>
          <t>Cơ sở ngành</t>
        </is>
      </c>
      <c r="E8" s="29" t="inlineStr">
        <is>
          <t>Miền IV - An toàn số
Miền IV - Môi trường</t>
        </is>
      </c>
      <c r="F8" s="30" t="inlineStr">
        <is>
          <t>4.1
4.4</t>
        </is>
      </c>
      <c r="G8" s="32" t="inlineStr">
        <is>
          <t>• Cấu hình bảo mật phần cứng: Mật khẩu BIOS/UEFI, kích hoạt Secure Boot và TPM 2.0.
• Giải pháp tối ưu tiêu thụ điện năng và quy chuẩn thu gom, xử lý rác thải điện tử (E-waste).</t>
        </is>
      </c>
      <c r="H8" s="32" t="inlineStr">
        <is>
          <t>• Thực hành trực tiếp trong phòng Lab bật Secure Boot và đặt mật khẩu bảo vệ BIOS.
• Thảo luận case study về bảo vệ môi trường khi thanh lý thiết bị số.</t>
        </is>
      </c>
      <c r="I8" s="32" t="inlineStr">
        <is>
          <t>• Checklist đánh giá kỹ năng phòng Lab có xác nhận của giảng viên hướng dẫn.
• Ảnh chụp màn hình BIOS/UEFI đã bật Secure Boot và TPM.</t>
        </is>
      </c>
      <c r="J8" s="30" t="inlineStr">
        <is>
          <t>Mức 3</t>
        </is>
      </c>
    </row>
    <row r="9" ht="58" customHeight="1" s="16">
      <c r="A9" s="27" t="n">
        <v>5</v>
      </c>
      <c r="B9" s="27" t="inlineStr">
        <is>
          <t>111157</t>
        </is>
      </c>
      <c r="C9" s="28" t="inlineStr">
        <is>
          <t>Phần mềm mã nguồn mở</t>
        </is>
      </c>
      <c r="D9" s="27" t="inlineStr">
        <is>
          <t>Cơ sở ngành</t>
        </is>
      </c>
      <c r="E9" s="34" t="inlineStr">
        <is>
          <t>Miền III - Bản quyền
Miền II - Hợp tác số</t>
        </is>
      </c>
      <c r="F9" s="30" t="inlineStr">
        <is>
          <t>3.3
2.4</t>
        </is>
      </c>
      <c r="G9" s="28" t="inlineStr">
        <is>
          <t>• Tìm hiểu sâu các loại giấy phép mã nguồn mở (GPL, MIT, Apache, Creative Commons) và rủi ro vi phạm bản quyền.
• Quy trình làm việc nhóm mã nguồn mở chuyên nghiệp trên GitHub (Fork, Pull Request, Issue).</t>
        </is>
      </c>
      <c r="H9" s="28" t="inlineStr">
        <is>
          <t>• Đồ án nhóm triển khai website mã nguồn mở có công khai kho mã nguồn trên GitHub kèm License rõ ràng.
• Thực hiện review chéo mã nguồn giữa các thành viên.</t>
        </is>
      </c>
      <c r="I9" s="28" t="inlineStr">
        <is>
          <t>• File `LICENSE` được đính kèm đúng chuẩn trong kho GitHub của nhóm.
• Lịch sử Pull Request và các lượt review/comment trực tiếp trên nền tảng GitHub.</t>
        </is>
      </c>
      <c r="J9" s="30" t="inlineStr">
        <is>
          <t>Mức 3 - Mức 4</t>
        </is>
      </c>
    </row>
    <row r="10" ht="58" customHeight="1" s="16">
      <c r="A10" s="31" t="n">
        <v>6</v>
      </c>
      <c r="B10" s="31" t="inlineStr">
        <is>
          <t>111159</t>
        </is>
      </c>
      <c r="C10" s="32" t="inlineStr">
        <is>
          <t>Điện tử trong IoT</t>
        </is>
      </c>
      <c r="D10" s="31" t="inlineStr">
        <is>
          <t>Cơ sở ngành</t>
        </is>
      </c>
      <c r="E10" s="29" t="inlineStr">
        <is>
          <t>Miền IV - An toàn số
Miền V - Giải quyết lỗi</t>
        </is>
      </c>
      <c r="F10" s="30" t="inlineStr">
        <is>
          <t>4.1
5.1</t>
        </is>
      </c>
      <c r="G10" s="32" t="inlineStr">
        <is>
          <t>• An toàn điện và chống quá áp/ngắn mạch cho thiết bị IoT.
• Bảo mật vật lý cho mạch điều khiển và các cổng nạp chương trình (JTAG/UART).</t>
        </is>
      </c>
      <c r="H10" s="32" t="inlineStr">
        <is>
          <t>• Thực hành lắp ráp mạch có tích hợp linh kiện bảo vệ (cầu chì, diode bảo vệ ngược cực).
• Đo kiểm và ghi nhận thông số mạch bằng dao động ký số/đồng hồ vạn năng.</t>
        </is>
      </c>
      <c r="I10" s="32" t="inlineStr">
        <is>
          <t>• Sơ đồ nguyên lý mạch (Schematic) có thể hiện linh kiện bảo vệ.
• Biên bản nghiệm thu mạch thực hành đo kiểm thông số đạt tiêu chuẩn an toàn.</t>
        </is>
      </c>
      <c r="J10" s="30" t="inlineStr">
        <is>
          <t>Mức 3</t>
        </is>
      </c>
    </row>
    <row r="11" ht="58" customHeight="1" s="16">
      <c r="A11" s="27" t="n">
        <v>7</v>
      </c>
      <c r="B11" s="27" t="inlineStr">
        <is>
          <t>111161</t>
        </is>
      </c>
      <c r="C11" s="28" t="inlineStr">
        <is>
          <t>Kỹ Thuật lập trình</t>
        </is>
      </c>
      <c r="D11" s="27" t="inlineStr">
        <is>
          <t>Cơ sở ngành</t>
        </is>
      </c>
      <c r="E11" s="29" t="inlineStr">
        <is>
          <t>Miền VI - Vibe Coding
Miền IV - Lập trình an toàn</t>
        </is>
      </c>
      <c r="F11" s="30" t="inlineStr">
        <is>
          <t>6.2
6.3
4.2</t>
        </is>
      </c>
      <c r="G11" s="28" t="inlineStr">
        <is>
          <t>• Quy trình Vibe Coding chuẩn mực: Kỹ nghệ viết prompt sinh mã Python tối ưu, đọc hiểu và thẩm định độc lập mã do AI tạo.
• Phòng chống rò rỉ dữ liệu qua file tạm hoặc biến không được giải phóng.</t>
        </is>
      </c>
      <c r="H11" s="28" t="inlineStr">
        <is>
          <t>• Mini-hackathon lập trình: Sinh viên sử dụng Copilot/Cursor giải bài toán phức tạp, sau đó phản biện và tối ưu hóa giải thuật.
• Bài tập viết lại mã nguồn do AI sinh để đạt chuẩn Clean Code (PEP8).</t>
        </is>
      </c>
      <c r="I11" s="28" t="inlineStr">
        <is>
          <t>• File mã nguồn hoàn thiện kèm file Prompt Log (nhật ký tương tác với trợ lý AI).
• Bản phân tích so sánh độ phức tạp Big-O trước và sau khi refactor mã nguồn.</t>
        </is>
      </c>
      <c r="J11" s="30" t="inlineStr">
        <is>
          <t>Mức 3 - Mức 4</t>
        </is>
      </c>
    </row>
    <row r="12" ht="58" customHeight="1" s="16">
      <c r="A12" s="31" t="n">
        <v>8</v>
      </c>
      <c r="B12" s="31" t="inlineStr">
        <is>
          <t>111162</t>
        </is>
      </c>
      <c r="C12" s="32" t="inlineStr">
        <is>
          <t>Thiết kế UI/UX</t>
        </is>
      </c>
      <c r="D12" s="31" t="inlineStr">
        <is>
          <t>Cơ sở ngành</t>
        </is>
      </c>
      <c r="E12" s="29" t="inlineStr">
        <is>
          <t>Miền VI - AI Design
Miền IV - Quyền riêng tư</t>
        </is>
      </c>
      <c r="F12" s="30" t="inlineStr">
        <is>
          <t>6.2
4.2</t>
        </is>
      </c>
      <c r="G12" s="32" t="inlineStr">
        <is>
          <t>• Khai thác công cụ AI (Midjourney, Figma AI) để tạo moodboard, ý tưởng giao diện nhanh.
• Nguyên lý thiết kế giao diện bảo vệ quyền riêng tư (Privacy by Design): Luồng thông báo chấp thuận dữ liệu (Consent), trang cài đặt bảo mật cá nhân.</t>
        </is>
      </c>
      <c r="H12" s="32" t="inlineStr">
        <is>
          <t>• Thực hành thiết kế Prototype trên Figma bao gồm màn hình cài đặt quyền riêng tư và điều khoản dữ liệu.
• Sử dụng AI hỗ trợ sinh bảng phối màu và bộ icon theo tiêu chuẩn tiếp cận.</t>
        </is>
      </c>
      <c r="I12" s="32" t="inlineStr">
        <is>
          <t>• Link sản phẩm Figma Prototype tương tác đầy đủ.
• Báo cáo thuyết minh thiết kế có danh mục ghi nhận các asset/hình ảnh do AI tạo.</t>
        </is>
      </c>
      <c r="J12" s="30" t="inlineStr">
        <is>
          <t>Mức 4</t>
        </is>
      </c>
    </row>
    <row r="13" ht="58" customHeight="1" s="16">
      <c r="A13" s="27" t="n">
        <v>9</v>
      </c>
      <c r="B13" s="27" t="inlineStr">
        <is>
          <t>111164</t>
        </is>
      </c>
      <c r="C13" s="28" t="inlineStr">
        <is>
          <t>Thiết kế web</t>
        </is>
      </c>
      <c r="D13" s="27" t="inlineStr">
        <is>
          <t>Cơ sở ngành</t>
        </is>
      </c>
      <c r="E13" s="29" t="inlineStr">
        <is>
          <t>Miền IV - An toàn Web
Miền III - Nội dung số</t>
        </is>
      </c>
      <c r="F13" s="30" t="inlineStr">
        <is>
          <t>4.2
3.1</t>
        </is>
      </c>
      <c r="G13" s="28" t="inlineStr">
        <is>
          <t>• Lập trình giao diện web an toàn: Lọc và làm sạch dữ liệu form nhập phía Client (Sanitize Input) chống XSS cơ bản.
• Đảm bảo tiêu chuẩn tiếp cận Web Accessibility (WCAG 2.1) và tối ưu SEO kỹ thuật.</t>
        </is>
      </c>
      <c r="H13" s="28" t="inlineStr">
        <is>
          <t>• Xây dựng website Responsive có áp dụng kiểm tra hợp lệ dữ liệu bằng HTML5 &amp; JavaScript.
• Chạy kiểm toán website bằng công cụ Google Lighthouse.</t>
        </is>
      </c>
      <c r="I13" s="28" t="inlineStr">
        <is>
          <t>• Báo cáo kết quả kiểm toán Google Lighthouse đạt điểm xanh (trên 85 điểm Accessibility &amp; Best Practices).
• Mã nguồn xử lý kiểm tra và mã hóa ký tự đặc biệt trong form dữ liệu.</t>
        </is>
      </c>
      <c r="J13" s="30" t="inlineStr">
        <is>
          <t>Mức 3 - Mức 4</t>
        </is>
      </c>
    </row>
    <row r="14" ht="58" customHeight="1" s="16">
      <c r="A14" s="31" t="n">
        <v>10</v>
      </c>
      <c r="B14" s="31" t="inlineStr">
        <is>
          <t>111160</t>
        </is>
      </c>
      <c r="C14" s="32" t="inlineStr">
        <is>
          <t>Mạng máy tính</t>
        </is>
      </c>
      <c r="D14" s="31" t="inlineStr">
        <is>
          <t>Cơ sở ngành</t>
        </is>
      </c>
      <c r="E14" s="29" t="inlineStr">
        <is>
          <t>Miền IV - An toàn mạng
Miền V - Khắc phục sự cố</t>
        </is>
      </c>
      <c r="F14" s="30" t="inlineStr">
        <is>
          <t>4.1
4.2
5.1</t>
        </is>
      </c>
      <c r="G14" s="32" t="inlineStr">
        <is>
          <t>• Các mối đe dọa an ninh mạng cơ bản (Man-in-the-Middle, Spoofing, Broadcast Storm).
• Cấu hình bảo vệ cổng Switch (Port Security) và phân đoạn mạng qua VLAN cô lập truy cập.</t>
        </is>
      </c>
      <c r="H14" s="32" t="inlineStr">
        <is>
          <t>• Thực hành bài lab trên Cisco Packet Tracer cấu hình Port Security khóa cổng khi có MAC lạ.
• Phân tích luồng gói tin bằng Wireshark để nhận biết dữ liệu truyền dạng rõ (Clear text) so với mã hóa.</t>
        </is>
      </c>
      <c r="I14" s="32" t="inlineStr">
        <is>
          <t>• File bài làm thực hành `.pkt` có cấu hình Port Security và phân chia VLAN.
• Báo cáo chụp màn hình gói tin phân tích Wireshark kèm lời giải thích rủi ro bảo mật.</t>
        </is>
      </c>
      <c r="J14" s="30" t="inlineStr">
        <is>
          <t>Mức 3 - Mức 4</t>
        </is>
      </c>
    </row>
    <row r="15" ht="58" customHeight="1" s="16">
      <c r="A15" s="27" t="n">
        <v>11</v>
      </c>
      <c r="B15" s="27" t="inlineStr">
        <is>
          <t>111166</t>
        </is>
      </c>
      <c r="C15" s="28" t="inlineStr">
        <is>
          <t>Cơ sở dữ liệu</t>
        </is>
      </c>
      <c r="D15" s="27" t="inlineStr">
        <is>
          <t>Cơ sở ngành</t>
        </is>
      </c>
      <c r="E15" s="29" t="inlineStr">
        <is>
          <t>Miền IV - An toàn CSDL
Miền I - Quản trị dữ liệu</t>
        </is>
      </c>
      <c r="F15" s="30" t="inlineStr">
        <is>
          <t>4.2
1.3</t>
        </is>
      </c>
      <c r="G15" s="28" t="inlineStr">
        <is>
          <t>• Phòng chống tấn công SQL Injection thông qua viết truy vấn tham số hóa (Parameterized Query/Prepared Statement).
• Phân quyền người dùng theo vai trò (Role-based Access Control - RBAC) và chiến lược sao lưu dữ liệu (Full, Differential).</t>
        </is>
      </c>
      <c r="H15" s="28" t="inlineStr">
        <is>
          <t>• Thực hành demo lỗ hổng SQL Injection trên ứng dụng mẫu và viết lại câu truy vấn an toàn.
• Viết script SQL thực hiện phân quyền người dùng và sao lưu định kỳ CSDL.</t>
        </is>
      </c>
      <c r="I15" s="28" t="inlineStr">
        <is>
          <t>• Video/ảnh chụp thực nghiệm khai thác và khắc phục thành công lỗi SQL Injection.
• File script SQL chứa các lệnh `GRANT`, `REVOKE` và file backup CSDL `.bak`/`.sql`.</t>
        </is>
      </c>
      <c r="J15" s="30" t="inlineStr">
        <is>
          <t>Mức 4</t>
        </is>
      </c>
    </row>
    <row r="16" ht="58" customHeight="1" s="16">
      <c r="A16" s="31" t="n">
        <v>12</v>
      </c>
      <c r="B16" s="31" t="inlineStr">
        <is>
          <t>111167</t>
        </is>
      </c>
      <c r="C16" s="32" t="inlineStr">
        <is>
          <t>Cấu trúc dữ liệu và giải thuật</t>
        </is>
      </c>
      <c r="D16" s="31" t="inlineStr">
        <is>
          <t>Cơ sở ngành</t>
        </is>
      </c>
      <c r="E16" s="33" t="inlineStr">
        <is>
          <t>Miền V - Tối ưu hóa
Miền VI - AI Testing</t>
        </is>
      </c>
      <c r="F16" s="30" t="inlineStr">
        <is>
          <t>5.1
6.3</t>
        </is>
      </c>
      <c r="G16" s="32" t="inlineStr">
        <is>
          <t>• Tối ưu hóa độ phức tạp thời gian và không gian bộ nhớ của giải thuật.
• Ứng dụng trợ lý AI để sinh các bộ dữ liệu kiểm thử khắc nghiệt (Edge Cases / Stress Testing) nhằm tìm ra lỗ hổng của thuật toán.</t>
        </is>
      </c>
      <c r="H16" s="32" t="inlineStr">
        <is>
          <t>• Sinh viên nộp bài tập lập trình qua hệ thống chấm tự động (Auto-grader / LeetCode / Judge).
• Thực hiện đo thời gian thực thi (Benchmark) giữa các phương án thuật toán khác nhau.</t>
        </is>
      </c>
      <c r="I16" s="32" t="inlineStr">
        <is>
          <t>• Bảng kết quả chấm tự động từ hệ thống Auto-grader đạt 100% test cases.
• Báo cáo phân tích so sánh biểu đồ thời gian thực thi (Runtime) trên các kích thước dữ liệu lớn.</t>
        </is>
      </c>
      <c r="J16" s="30" t="inlineStr">
        <is>
          <t>Mức 4</t>
        </is>
      </c>
    </row>
    <row r="17" ht="58" customHeight="1" s="16">
      <c r="A17" s="27" t="n">
        <v>13</v>
      </c>
      <c r="B17" s="27" t="inlineStr">
        <is>
          <t>111168</t>
        </is>
      </c>
      <c r="C17" s="28" t="inlineStr">
        <is>
          <t>Nhập môn Phát triển dự án kỹ thuật</t>
        </is>
      </c>
      <c r="D17" s="27" t="inlineStr">
        <is>
          <t>Cơ sở ngành</t>
        </is>
      </c>
      <c r="E17" s="35" t="inlineStr">
        <is>
          <t>Miền II - Hợp tác số
Miền V - Sáng tạo kỹ thuật</t>
        </is>
      </c>
      <c r="F17" s="30" t="inlineStr">
        <is>
          <t>2.4
5.3</t>
        </is>
      </c>
      <c r="G17" s="28" t="inlineStr">
        <is>
          <t>• Quản lý tiến độ dự án kỹ thuật số hóa: Sử dụng bảng Kanban (Trello, Jira) và lưu trữ tài liệu nhóm trên Cloud.
• Ứng dụng tư duy thiết kế (Design Thinking) để sáng tạo giải pháp công nghệ đáp ứng nhu cầu thực tế.</t>
        </is>
      </c>
      <c r="H17" s="28" t="inlineStr">
        <is>
          <t>• Dự án nhóm theo chuẩn EPICS: Tổ chức họp Sprint định kỳ, cập nhật task trên Jira/Trello hàng tuần.
• Thuyết trình sản phẩm kỹ thuật giải quyết vấn đề của cộng đồng địa phương.</t>
        </is>
      </c>
      <c r="I17" s="28" t="inlineStr">
        <is>
          <t>• Ảnh chụp màn hình bảng Kanban hoàn thành các Sprint của nhóm qua các tuần.
• Báo cáo dự án nhóm hoàn chỉnh kèm video demo giải pháp kỹ thuật.</t>
        </is>
      </c>
      <c r="J17" s="30" t="inlineStr">
        <is>
          <t>Mức 3 - Mức 4</t>
        </is>
      </c>
    </row>
    <row r="18" ht="58" customHeight="1" s="16">
      <c r="A18" s="31" t="n">
        <v>14</v>
      </c>
      <c r="B18" s="31" t="inlineStr">
        <is>
          <t>111170</t>
        </is>
      </c>
      <c r="C18" s="32" t="inlineStr">
        <is>
          <t>Hệ quản trị CSDL</t>
        </is>
      </c>
      <c r="D18" s="31" t="inlineStr">
        <is>
          <t>Cơ sở ngành</t>
        </is>
      </c>
      <c r="E18" s="29" t="inlineStr">
        <is>
          <t>Miền IV - An ninh CSDL
Miền I - Quản lý CSDL</t>
        </is>
      </c>
      <c r="F18" s="30" t="inlineStr">
        <is>
          <t>4.2
1.3</t>
        </is>
      </c>
      <c r="G18" s="32" t="inlineStr">
        <is>
          <t>• Mã hóa dữ liệu tĩnh và truyền tải (Transparent Data Encryption - TDE, SSL/TLS connection).
• Thiết lập hệ thống kiểm toán CSDL (Database Audit Log) để ghi nhận và truy vết các hành vi truy cập trái phép.</t>
        </is>
      </c>
      <c r="H18" s="32" t="inlineStr">
        <is>
          <t>• Bài lab thực hành cấu hình mã hóa cột dữ liệu nhạy cảm (mật khẩu, số căn cước, số tài khoản).
• Phân tích bảng nhật ký Audit Log để truy vết một hành vi sửa đổi dữ liệu trái phép.</t>
        </is>
      </c>
      <c r="I18" s="32" t="inlineStr">
        <is>
          <t>• File script cấu hình Audit và mã hóa dữ liệu trên hệ quản trị SQL Server/MySQL.
• Báo cáo trích xuất nhật ký kiểm toán chứng minh hệ thống ghi vết đầy đủ.</t>
        </is>
      </c>
      <c r="J18" s="30" t="inlineStr">
        <is>
          <t>Mức 4</t>
        </is>
      </c>
    </row>
    <row r="19" ht="58" customHeight="1" s="16">
      <c r="A19" s="27" t="n">
        <v>15</v>
      </c>
      <c r="B19" s="27" t="inlineStr">
        <is>
          <t>111171</t>
        </is>
      </c>
      <c r="C19" s="28" t="inlineStr">
        <is>
          <t>Lập trình Front-End</t>
        </is>
      </c>
      <c r="D19" s="27" t="inlineStr">
        <is>
          <t>Cơ sở ngành</t>
        </is>
      </c>
      <c r="E19" s="29" t="inlineStr">
        <is>
          <t>Miền IV - An toàn Client
Miền VI - AI Coding</t>
        </is>
      </c>
      <c r="F19" s="30" t="inlineStr">
        <is>
          <t>4.2
6.2</t>
        </is>
      </c>
      <c r="G19" s="28" t="inlineStr">
        <is>
          <t>• Lưu trữ an toàn phía Client: Sử dụng HttpOnly Cookie thay cho LocalStorage đối với Token nhạy cảm.
• Tận dụng công cụ AI (v0.dev, Cursor) để sinh nhanh Component React và tùy biến tối ưu lại mã.</t>
        </is>
      </c>
      <c r="H19" s="28" t="inlineStr">
        <is>
          <t>• Xây dựng SPA (React/Next.js) có bảo vệ route (Protected Routes) và xác thực an toàn.
• Bài tập đánh giá, làm sạch mã nguồn Component do AI sinh ra.</t>
        </is>
      </c>
      <c r="I19" s="28" t="inlineStr">
        <is>
          <t>• Mã nguồn React thể hiện cơ chế quản lý Token an toàn và chặn truy cập trái phép.
• Bản thuyết minh các thành phần giao diện đã được chuẩn hóa lại từ bản gợi ý của AI.</t>
        </is>
      </c>
      <c r="J19" s="30" t="inlineStr">
        <is>
          <t>Mức 4</t>
        </is>
      </c>
    </row>
    <row r="20" ht="58" customHeight="1" s="16">
      <c r="A20" s="31" t="n">
        <v>16</v>
      </c>
      <c r="B20" s="31" t="inlineStr">
        <is>
          <t>111172</t>
        </is>
      </c>
      <c r="C20" s="32" t="inlineStr">
        <is>
          <t>Lập trình hướng đối tượng</t>
        </is>
      </c>
      <c r="D20" s="31" t="inlineStr">
        <is>
          <t>Cơ sở ngành</t>
        </is>
      </c>
      <c r="E20" s="33" t="inlineStr">
        <is>
          <t>Miền III - Lập trình chuẩn
Miền VI - AI Refactoring</t>
        </is>
      </c>
      <c r="F20" s="30" t="inlineStr">
        <is>
          <t>3.4
6.3</t>
        </is>
      </c>
      <c r="G20" s="32" t="inlineStr">
        <is>
          <t>• Thực thi các nguyên lý thiết kế hướng đối tượng SOLID để giảm phụ thuộc mã nguồn.
• Sử dụng AI để rà soát 'mùi mã nguồn' (Code Smells), đề xuất giải pháp Refactoring tái cấu trúc các lớp phức tạp.</t>
        </is>
      </c>
      <c r="H20" s="32" t="inlineStr">
        <is>
          <t>• Đồ án mini thiết kế mô hình hướng đối tượng chuẩn hóa bằng UML và hiện thực bằng Python/C++.
• Thực hành Prompt AI yêu cầu phân tích điểm yếu kiến trúc và tự tay sửa đổi theo SOLID.</t>
        </is>
      </c>
      <c r="I20" s="32" t="inlineStr">
        <is>
          <t>• Sơ đồ lớp UML chi tiết khớp 100% với kiến trúc mã nguồn bài nộp.
• Báo cáo so sánh các chỉ số chất lượng mã nguồn trước và sau khi refactor cùng AI.</t>
        </is>
      </c>
      <c r="J20" s="30" t="inlineStr">
        <is>
          <t>Mức 4</t>
        </is>
      </c>
    </row>
    <row r="21" ht="58" customHeight="1" s="16">
      <c r="A21" s="27" t="n">
        <v>17</v>
      </c>
      <c r="B21" s="27" t="inlineStr">
        <is>
          <t>111165</t>
        </is>
      </c>
      <c r="C21" s="28" t="inlineStr">
        <is>
          <t>Mạng máy tính nâng cao</t>
        </is>
      </c>
      <c r="D21" s="27" t="inlineStr">
        <is>
          <t>Cơ sở ngành</t>
        </is>
      </c>
      <c r="E21" s="29" t="inlineStr">
        <is>
          <t>Miền IV - An toàn mạng
Miền V - Giải pháp mạng</t>
        </is>
      </c>
      <c r="F21" s="30" t="inlineStr">
        <is>
          <t>4.1
4.2
5.2</t>
        </is>
      </c>
      <c r="G21" s="28" t="inlineStr">
        <is>
          <t>• Thiết lập chính sách kiểm soát truy cập nâng cao: Extended Access Control Lists (ACLs) theo port và giao thức.
• Triển khai mạng riêng ảo VPN Site-to-Site và Remote Access với giao thức mã hóa IPSec.</t>
        </is>
      </c>
      <c r="H21" s="28" t="inlineStr">
        <is>
          <t>• Thực hành cấu hình Router lọc gói tin theo cổng dịch vụ (chặn Telnet, chỉ mở SSH/HTTPS).
• Thiết lập đường hầm VPN IPSec an toàn giữa 2 chi nhánh trên hệ thống thiết bị Cisco.</t>
        </is>
      </c>
      <c r="I21" s="28" t="inlineStr">
        <is>
          <t>• File cấu hình router (running-config) có chứa chính sách ACL và VPN Crypto.
• File bắt gói tin Wireshark chứng minh các gói tin đi qua VPN đã được mã hóa toàn bộ ESP payload.</t>
        </is>
      </c>
      <c r="J21" s="30" t="inlineStr">
        <is>
          <t>Mức 4 - Mức 5</t>
        </is>
      </c>
    </row>
    <row r="22" ht="58" customHeight="1" s="16">
      <c r="A22" s="31" t="n">
        <v>18</v>
      </c>
      <c r="B22" s="31" t="inlineStr">
        <is>
          <t>111176</t>
        </is>
      </c>
      <c r="C22" s="32" t="inlineStr">
        <is>
          <t>Lập trình Back-End</t>
        </is>
      </c>
      <c r="D22" s="31" t="inlineStr">
        <is>
          <t>Cơ sở ngành</t>
        </is>
      </c>
      <c r="E22" s="29" t="inlineStr">
        <is>
          <t>Miền IV - Bảo mật API
Miền III - Tích hợp hệ thống</t>
        </is>
      </c>
      <c r="F22" s="30" t="inlineStr">
        <is>
          <t>4.2
3.2</t>
        </is>
      </c>
      <c r="G22" s="32" t="inlineStr">
        <is>
          <t>• Bảo mật Web API: Cơ chế xác thực OAuth 2.0 / JWT, mã hóa mật khẩu bằng thuật toán Bcrypt/Argon2.
• Phòng chống tấn công Brute Force bằng kỹ thuật giới hạn tần suất gọi API (Rate Limiting) và CORS chặt chẽ.</t>
        </is>
      </c>
      <c r="H22" s="32" t="inlineStr">
        <is>
          <t>• Xây dựng RESTful API hoàn chỉnh với Node.js/Python có tích hợp middleware kiểm tra quyền và mã hóa mật khẩu.
• Kiểm thử tự động tính bảo mật của API bằng công cụ Postman / OWASP ZAP.</t>
        </is>
      </c>
      <c r="I22" s="32" t="inlineStr">
        <is>
          <t>• Collection test case trong Postman kiểm tra việc từ chối request không có Token hoặc sai quyền (401/403).
• File mã nguồn Middleware xác thực JWT và file cấu hình biến môi trường an toàn `.env.example`.</t>
        </is>
      </c>
      <c r="J22" s="30" t="inlineStr">
        <is>
          <t>Mức 4 - Mức 5</t>
        </is>
      </c>
    </row>
    <row r="23" ht="58" customHeight="1" s="16">
      <c r="A23" s="27" t="n">
        <v>19</v>
      </c>
      <c r="B23" s="27" t="inlineStr">
        <is>
          <t>111182</t>
        </is>
      </c>
      <c r="C23" s="28" t="inlineStr">
        <is>
          <t>Lập trình ứng dụng di động</t>
        </is>
      </c>
      <c r="D23" s="27" t="inlineStr">
        <is>
          <t>Chuyên ngành</t>
        </is>
      </c>
      <c r="E23" s="29" t="inlineStr">
        <is>
          <t>Miền IV - Quyền riêng tư di động
Miền VI - AI trên di động</t>
        </is>
      </c>
      <c r="F23" s="30" t="inlineStr">
        <is>
          <t>4.2
6.2</t>
        </is>
      </c>
      <c r="G23" s="28" t="inlineStr">
        <is>
          <t>• Quản lý quyền truy cập nhạy cảm (Runtime Permissions) theo tiêu chuẩn bảo mật Google Play (Camera, Location, Storage).
• Tích hợp mô hình AI thông minh dạng nhúng (On-device AI với TensorFlow Lite) chạy ngoại tuyến.</t>
        </is>
      </c>
      <c r="H23" s="28" t="inlineStr">
        <is>
          <t>• Xây dựng ứng dụng di động có xin cấp quyền người dùng đúng ngữ cảnh sử dụng.
• Tích hợp tính năng phân loại hình ảnh / nhận dạng giọng nói ngoại tuyến trên thiết bị.</t>
        </is>
      </c>
      <c r="I23" s="28" t="inlineStr">
        <is>
          <t>• File `AndroidManifest.xml` thể hiện nguyên tắc cấp quyền tối thiểu cần thiết.
• Video demo ứng dụng hoạt động chính xác tính năng AI ngay cả khi tắt toàn bộ kết nối mạng Internet.</t>
        </is>
      </c>
      <c r="J23" s="30" t="inlineStr">
        <is>
          <t>Mức 4 - Mức 5</t>
        </is>
      </c>
    </row>
    <row r="24" ht="58" customHeight="1" s="16">
      <c r="A24" s="31" t="n">
        <v>20</v>
      </c>
      <c r="B24" s="31" t="inlineStr">
        <is>
          <t>111184</t>
        </is>
      </c>
      <c r="C24" s="32" t="inlineStr">
        <is>
          <t>Lập trình ứng dụng web</t>
        </is>
      </c>
      <c r="D24" s="31" t="inlineStr">
        <is>
          <t>Chuyên ngành</t>
        </is>
      </c>
      <c r="E24" s="29" t="inlineStr">
        <is>
          <t>Miền IV - DevSecOps
Miền V - CI/CD &amp; Vận hành</t>
        </is>
      </c>
      <c r="F24" s="30" t="inlineStr">
        <is>
          <t>4.2
5.1</t>
        </is>
      </c>
      <c r="G24" s="32" t="inlineStr">
        <is>
          <t>• Tích hợp kiểm thử bảo mật vào quy trình CI/CD (DevSecOps) để tự động quét lỗ hổng mã nguồn (SAST/DAST).
• Quản lý biến môi trường bí mật (Secrets Management) an toàn trên nền tảng Cloud (Vercel, AWS).</t>
        </is>
      </c>
      <c r="H24" s="32" t="inlineStr">
        <is>
          <t>• Cấu hình quy trình tự động hóa GitHub Actions: Tự động chạy unit test và quét mã nguồn khi tạo Pull Request.
• Triển khai ứng dụng hoàn chỉnh có chứng chỉ bảo mật HTTPS hợp lệ.</t>
        </is>
      </c>
      <c r="I24" s="32" t="inlineStr">
        <is>
          <t>• File cấu hình CI/CD workflow `.github/workflows/deploy.yml`.
• Link website thực tế đang hoạt động có chứng chỉ bảo mật SSL/HTTPS (khóa xanh) và báo cáo quét bảo mật sạch.</t>
        </is>
      </c>
      <c r="J24" s="30" t="inlineStr">
        <is>
          <t>Mức 5</t>
        </is>
      </c>
    </row>
    <row r="25" ht="58" customHeight="1" s="16">
      <c r="A25" s="27" t="n">
        <v>21</v>
      </c>
      <c r="B25" s="27" t="inlineStr">
        <is>
          <t>111188</t>
        </is>
      </c>
      <c r="C25" s="28" t="inlineStr">
        <is>
          <t>Quản trị website trên VPS</t>
        </is>
      </c>
      <c r="D25" s="27" t="inlineStr">
        <is>
          <t>Chuyên ngành</t>
        </is>
      </c>
      <c r="E25" s="29" t="inlineStr">
        <is>
          <t>Miền IV - An toàn máy chủ VPS
Miền V - Khắc phục sự cố</t>
        </is>
      </c>
      <c r="F25" s="30" t="inlineStr">
        <is>
          <t>4.1
4.2
5.1</t>
        </is>
      </c>
      <c r="G25" s="28" t="inlineStr">
        <is>
          <t>• Hardening bảo mật hệ điều hành Linux: Vô hiệu hóa mật khẩu SSH, chỉ đăng nhập bằng khóa SSH Key cá nhân.
• Cấu hình tường lửa UFW (Uncomplicated Firewall), công cụ chống dò mật khẩu Fail2ban và chứng chỉ SSL Let's Encrypt.</t>
        </is>
      </c>
      <c r="H25" s="28" t="inlineStr">
        <is>
          <t>• Sinh viên thực hành trực tiếp trên máy chủ VPS: Thiết lập SSH Key, đóng toàn bộ các cổng không dùng, bật tường lửa.
• Cấu hình dịch vụ Nginx làm Reverse Proxy an toàn với giao thức HTTP/2 và SSL.</t>
        </is>
      </c>
      <c r="I25" s="28" t="inlineStr">
        <is>
          <t>• Báo cáo quét lỗ hổng từ công cụ Nmap từ máy bên ngoài chứng minh chỉ mở đúng 2 cổng 80 và 443.
• File cấu hình Nginx Server Block có bật các header bảo mật HTTP (HSTS, X-Frame-Options, CSP).</t>
        </is>
      </c>
      <c r="J25" s="30" t="inlineStr">
        <is>
          <t>Mức 4 - Mức 5</t>
        </is>
      </c>
    </row>
    <row r="26" ht="58" customHeight="1" s="16">
      <c r="A26" s="31" t="n">
        <v>22</v>
      </c>
      <c r="B26" s="31" t="inlineStr">
        <is>
          <t>111187</t>
        </is>
      </c>
      <c r="C26" s="32" t="inlineStr">
        <is>
          <t>Kiểm thử và đảm bảo chất lượng phần mềm</t>
        </is>
      </c>
      <c r="D26" s="31" t="inlineStr">
        <is>
          <t>Cơ sở ngành</t>
        </is>
      </c>
      <c r="E26" s="29" t="inlineStr">
        <is>
          <t>Miền VI - AI Testing
Miền IV - Kiểm thử an toàn</t>
        </is>
      </c>
      <c r="F26" s="30" t="inlineStr">
        <is>
          <t>6.3
4.1</t>
        </is>
      </c>
      <c r="G26" s="32" t="inlineStr">
        <is>
          <t>• Sử dụng công cụ AI để tự động tạo kịch bản kiểm thử (Test Scripts) và phát hiện các trường hợp kiểm thử bị bỏ sót.
• Kiểm thử bảo mật ứng dụng web cơ bản (Penetration Testing) bằng công cụ OWASP ZAP.</t>
        </is>
      </c>
      <c r="H26" s="32" t="inlineStr">
        <is>
          <t>• Viết kịch bản kiểm thử tự động (Automation Testing) bằng Cypress / Playwright có sự hỗ trợ của AI.
• Chạy quét lỗ hổng tự động trên ứng dụng web và lập báo cáo khắc phục lỗi (Defect Report).</t>
        </is>
      </c>
      <c r="I26" s="32" t="inlineStr">
        <is>
          <t>• Bộ mã nguồn Automation Test Scripts có chú thích phần kịch bản do AI gợi ý.
• Báo cáo kiểm thử bảo mật (Vulnerability Assessment Report) phân loại theo chuẩn OWASP Top 10.</t>
        </is>
      </c>
      <c r="J26" s="30" t="inlineStr">
        <is>
          <t>Mức 4</t>
        </is>
      </c>
    </row>
    <row r="27" ht="58" customHeight="1" s="16">
      <c r="A27" s="27" t="n">
        <v>23</v>
      </c>
      <c r="B27" s="27" t="inlineStr">
        <is>
          <t>111244</t>
        </is>
      </c>
      <c r="C27" s="28" t="inlineStr">
        <is>
          <t>Kỹ thuật xử lý dữ liệu với Python</t>
        </is>
      </c>
      <c r="D27" s="27" t="inlineStr">
        <is>
          <t>Chuyên ngành</t>
        </is>
      </c>
      <c r="E27" s="29" t="inlineStr">
        <is>
          <t>Miền I - Quản lý dữ liệu lớn
Miền IV - Bảo vệ dữ liệu</t>
        </is>
      </c>
      <c r="F27" s="30" t="inlineStr">
        <is>
          <t>1.3
4.2</t>
        </is>
      </c>
      <c r="G27" s="28" t="inlineStr">
        <is>
          <t>• Kỹ thuật làm sạch và ẩn danh hóa dữ liệu (Data Anonymization / Masking) trước khi phân tích nhằm bảo vệ quyền riêng tư.
• Thu thập dữ liệu qua API tuân thủ hạn ngạch truy vấn (Rate Limit) và bản quyền dữ liệu số.</t>
        </is>
      </c>
      <c r="H27" s="28" t="inlineStr">
        <is>
          <t>• Bài tập lớn xử lý bộ dữ liệu thực tế: Thực hiện ẩn danh hóa thông tin cá nhân (họ tên, email, sđt) bằng Python Pandas.
• Tối ưu hóa bộ nhớ khi xử lý tập dữ liệu hàng triệu dòng.</t>
        </is>
      </c>
      <c r="I27" s="28" t="inlineStr">
        <is>
          <t>• Jupyter Notebook hoàn chỉnh thể hiện các bước làm sạch, ẩn danh hóa và thống kê dữ liệu.
• File dữ liệu sau khi xử lý không còn lưu giữ thông tin định danh cá nhân nhạy cảm.</t>
        </is>
      </c>
      <c r="J27" s="30" t="inlineStr">
        <is>
          <t>Mức 4</t>
        </is>
      </c>
    </row>
    <row r="28" ht="58" customHeight="1" s="16">
      <c r="A28" s="31" t="n">
        <v>24</v>
      </c>
      <c r="B28" s="31" t="inlineStr">
        <is>
          <t>111245</t>
        </is>
      </c>
      <c r="C28" s="32" t="inlineStr">
        <is>
          <t>Trực quan hóa và kể chuyện với dữ liệu</t>
        </is>
      </c>
      <c r="D28" s="31" t="inlineStr">
        <is>
          <t>Chuyên ngành</t>
        </is>
      </c>
      <c r="E28" s="34" t="inlineStr">
        <is>
          <t>Miền III - Trực quan hóa
Miền II - Truyền thông số</t>
        </is>
      </c>
      <c r="F28" s="30" t="inlineStr">
        <is>
          <t>3.1
2.2</t>
        </is>
      </c>
      <c r="G28" s="32" t="inlineStr">
        <is>
          <t>• Xây dựng Dashboard tương tác hỗ trợ ra quyết định kinh doanh trên Power BI / Tableau.
• Kỹ năng truyền đạt thông điệp số (Data Storytelling): Biến đổi số liệu phức tạp thành biểu đồ trực quan, dễ hiểu.</t>
        </is>
      </c>
      <c r="H28" s="32" t="inlineStr">
        <is>
          <t>• Đồ án thiết kế Dashboard dữ liệu thực tế kết hợp các biểu đồ phân tích đa chiều.
• Thuyết trình báo cáo phân tích trước hội đồng hoặc qua video thuyết minh số.</t>
        </is>
      </c>
      <c r="I28" s="32" t="inlineStr">
        <is>
          <t>• File thiết kế Dashboard tương tác (.pbix hoặc link Tableau Public tương tác trực tiếp).
• Video bài thuyết trình phân tích dữ liệu độ dài 5-7 phút của sinh viên.</t>
        </is>
      </c>
      <c r="J28" s="30" t="inlineStr">
        <is>
          <t>Mức 4</t>
        </is>
      </c>
    </row>
    <row r="29" ht="58" customHeight="1" s="16">
      <c r="A29" s="27" t="n">
        <v>25</v>
      </c>
      <c r="B29" s="27" t="inlineStr">
        <is>
          <t>111246</t>
        </is>
      </c>
      <c r="C29" s="28" t="inlineStr">
        <is>
          <t>Generative AI &amp; AI Agents</t>
        </is>
      </c>
      <c r="D29" s="27" t="inlineStr">
        <is>
          <t>Chuyên ngành</t>
        </is>
      </c>
      <c r="E29" s="29" t="inlineStr">
        <is>
          <t>Miền VI - AI Nâng cao
Miền IV - An toàn AI</t>
        </is>
      </c>
      <c r="F29" s="30" t="inlineStr">
        <is>
          <t>6.1
6.2
6.3
4.2</t>
        </is>
      </c>
      <c r="G29" s="28" t="inlineStr">
        <is>
          <t>• Kỹ nghệ gợi ý nâng cao (Few-shot, Chain-of-Thought Prompting), kiến trúc RAG và xây dựng Multi-Agent tự động.
• An toàn và đạo đức AI: Phòng chống tấn công Prompt Injection, cơ chế kiểm duyệt nội dung (Guardrails) và kiểm soát ảo giác.</t>
        </is>
      </c>
      <c r="H29" s="28" t="inlineStr">
        <is>
          <t>• Đồ án phát triển tác tử AI (AI Agent) tự động giải quyết quy trình nghiệp vụ bằng LangChain/CrewAI.
• Kiểm thử tấn công thử nghiệm vào hệ thống AI và xây dựng lớp phòng thủ Guardrail.</t>
        </is>
      </c>
      <c r="I29" s="28" t="inlineStr">
        <is>
          <t>• Mã nguồn dự án AI Agent hoàn chỉnh có tích hợp cơ chế Guardrail ngăn chặn Prompt Injection.
• Báo cáo đánh giá độ chính xác, độ tin cậy và kiểm thử rủi ro đạo đức của sản phẩm AI.</t>
        </is>
      </c>
      <c r="J29" s="30" t="inlineStr">
        <is>
          <t>Mức 5</t>
        </is>
      </c>
    </row>
    <row r="30" ht="58" customHeight="1" s="16">
      <c r="A30" s="31" t="n">
        <v>26</v>
      </c>
      <c r="B30" s="31" t="inlineStr">
        <is>
          <t>111192</t>
        </is>
      </c>
      <c r="C30" s="32" t="inlineStr">
        <is>
          <t>Thực tập</t>
        </is>
      </c>
      <c r="D30" s="31" t="inlineStr">
        <is>
          <t>Tốt nghiệp</t>
        </is>
      </c>
      <c r="E30" s="35" t="inlineStr">
        <is>
          <t>Toàn diện 6 Miền
(Đặc biệt Miền II &amp; IV)</t>
        </is>
      </c>
      <c r="F30" s="30" t="inlineStr">
        <is>
          <t>2.4
2.5
4.2
5.4</t>
        </is>
      </c>
      <c r="G30" s="32" t="inlineStr">
        <is>
          <t>• Tuân thủ nghiêm ngặt thỏa thuận bảo mật thông tin (NDA) và quy định an toàn dữ liệu số của doanh nghiệp thực tập.
• Rèn luyện kỹ năng làm việc nhóm kỹ thuật trong môi trường số thực tế (GitLab, Slack, Jira của công ty).</t>
        </is>
      </c>
      <c r="H30" s="32" t="inlineStr">
        <is>
          <t>• Sinh viên tham gia trực tiếp vào các dự án phần mềm/mạng thực tế tại doanh nghiệp.
• Tự đánh giá và xây dựng kế hoạch nâng cao năng lực số của bản thân sau kỳ thực tập.</t>
        </is>
      </c>
      <c r="I30" s="32" t="inlineStr">
        <is>
          <t>• Bản thỏa thuận cam kết bảo mật thông tin (NDA) có xác nhận của doanh nghiệp tiếp nhận.
• Bản nhận xét đánh giá năng lực làm việc thực tế và kỹ năng số do cán bộ hướng dẫn tại công ty ký tên đóng dấu.
• Báo cáo thực tập có mục tự đánh giá sự tiến bộ về năng lực số cá nhân.</t>
        </is>
      </c>
      <c r="J30" s="30" t="inlineStr">
        <is>
          <t>Mức 5</t>
        </is>
      </c>
    </row>
    <row r="31" ht="58" customHeight="1" s="16">
      <c r="A31" s="27" t="n">
        <v>27</v>
      </c>
      <c r="B31" s="27" t="inlineStr">
        <is>
          <t>111193</t>
        </is>
      </c>
      <c r="C31" s="28" t="inlineStr">
        <is>
          <t>Tốt nghiệp</t>
        </is>
      </c>
      <c r="D31" s="27" t="inlineStr">
        <is>
          <t>Tốt nghiệp</t>
        </is>
      </c>
      <c r="E31" s="35" t="inlineStr">
        <is>
          <t>Toàn diện 6 Miền
(Đặc biệt Miền V &amp; VI)</t>
        </is>
      </c>
      <c r="F31" s="30" t="inlineStr">
        <is>
          <t>5.3
5.4
6.2
4.2</t>
        </is>
      </c>
      <c r="G31" s="28" t="inlineStr">
        <is>
          <t>• Ứng dụng sáng tạo các công nghệ số hiện đại (Full-stack, AI, IoT, Cloud) để xây dựng sản phẩm kỹ thuật hoàn chỉnh.
• Bắt buộc kê khai minh bạch việc sử dụng công cụ AI trong quá trình làm khóa luận (AI Usage Disclosure Statement) và kiểm chứng kết quả.</t>
        </is>
      </c>
      <c r="H31" s="28" t="inlineStr">
        <is>
          <t>• Thực hiện đồ án tốt nghiệp kỹ sư theo quy trình phát triển sản phẩm chuẩn công nghiệp.
• Bảo vệ sản phẩm và trả lời phản biện trước Hội đồng đánh giá tốt nghiệp.</t>
        </is>
      </c>
      <c r="I31" s="28" t="inlineStr">
        <is>
          <t>• Cuốn báo cáo khóa luận tốt nghiệp có riêng mục 'Tuyên bố về việc sử dụng công cụ Trí tuệ nhân tạo (AI)' nêu rõ phạm vi và công cụ đã dùng.
• Sản phẩm phần mềm/hệ thống thực tế đang vận hành ổn định kèm kho mã nguồn có commit log minh bạch.
• Biên bản chấm điểm và nhận xét của Hội đồng tốt nghiệp đánh giá năng lực giải quyết vấn đề bằng công nghệ.</t>
        </is>
      </c>
      <c r="J31" s="30" t="inlineStr">
        <is>
          <t>Mức 5</t>
        </is>
      </c>
    </row>
    <row r="32"/>
    <row r="33" ht="25" customHeight="1" s="16">
      <c r="A33" s="36" t="inlineStr">
        <is>
          <t>QUY TRÌNH &amp; NGUYÊN TẮC QUẢN LÝ MINH CHỨNG NĂNG LỰC SỐ PHỤC VỤ KIỂM ĐỊNH</t>
        </is>
      </c>
    </row>
    <row r="34" ht="28" customHeight="1" s="16">
      <c r="A34" s="37" t="inlineStr">
        <is>
          <t>1. Nguyên tắc minh chứng số hóa (Digital Evidence):</t>
        </is>
      </c>
      <c r="B34" s="38" t="n"/>
      <c r="C34" s="39" t="n"/>
      <c r="D34" s="28" t="inlineStr">
        <is>
          <t>Toàn bộ bài nộp, mã nguồn, bài kiểm tra số của sinh viên phải được lưu trữ trên hệ thống LMS trường, kho mã nguồn GitHub Classroom hoặc ổ đĩa Cloud của Khoa để phục vụ truy xuất tức thì khi đoàn kiểm định yêu cầu.</t>
        </is>
      </c>
      <c r="E34" s="38" t="n"/>
      <c r="F34" s="38" t="n"/>
      <c r="G34" s="38" t="n"/>
      <c r="H34" s="38" t="n"/>
      <c r="I34" s="38" t="n"/>
      <c r="J34" s="39" t="n"/>
    </row>
    <row r="35" ht="28" customHeight="1" s="16">
      <c r="A35" s="37" t="inlineStr">
        <is>
          <t>2. Minh chứng quá trình (Process Evidence):</t>
        </is>
      </c>
      <c r="B35" s="38" t="n"/>
      <c r="C35" s="39" t="n"/>
      <c r="D35" s="28" t="inlineStr">
        <is>
          <t>Không chỉ lưu sản phẩm cuối kỳ, cần lưu vết quá trình làm việc số của sinh viên như: Lịch sử commit Git, biểu đồ đóng góp thành viên, log trao đổi công việc trên Jira/Trello để chứng minh năng lực hợp tác số (NLTP 2.4).</t>
        </is>
      </c>
      <c r="E35" s="38" t="n"/>
      <c r="F35" s="38" t="n"/>
      <c r="G35" s="38" t="n"/>
      <c r="H35" s="38" t="n"/>
      <c r="I35" s="38" t="n"/>
      <c r="J35" s="39" t="n"/>
    </row>
    <row r="36" ht="28" customHeight="1" s="16">
      <c r="A36" s="37" t="inlineStr">
        <is>
          <t>3. Minh chứng sử dụng AI có trách nhiệm (Ethical AI):</t>
        </is>
      </c>
      <c r="B36" s="38" t="n"/>
      <c r="C36" s="39" t="n"/>
      <c r="D36" s="28" t="inlineStr">
        <is>
          <t>Mọi sản phẩm có ứng dụng trợ lý AI (Vibe Coding, GenAI) phải có bản 'Tuyên bố sử dụng AI (AI Usage Declaration)' và file nhật ký Prompt Log để chứng minh năng lực làm chủ và thẩm định AI của người học (NLTP 6.2, 6.3).</t>
        </is>
      </c>
      <c r="E36" s="38" t="n"/>
      <c r="F36" s="38" t="n"/>
      <c r="G36" s="38" t="n"/>
      <c r="H36" s="38" t="n"/>
      <c r="I36" s="38" t="n"/>
      <c r="J36" s="39" t="n"/>
    </row>
    <row r="37" ht="28" customHeight="1" s="16">
      <c r="A37" s="37" t="inlineStr">
        <is>
          <t>4. Minh chứng an toàn và bảo mật số (Security &amp; Privacy):</t>
        </is>
      </c>
      <c r="B37" s="38" t="n"/>
      <c r="C37" s="39" t="n"/>
      <c r="D37" s="28" t="inlineStr">
        <is>
          <t>Đối với các môn mạng, CSDL, web và VPS, minh chứng bắt buộc phải có ảnh chụp/video/log thể hiện cấu hình bảo mật thành công (SSL, Firewall, ACL, mã hóa dữ liệu) hoặc kết quả quét lỗ hổng đạt chuẩn (NLTP 4.1, 4.2).</t>
        </is>
      </c>
      <c r="E37" s="38" t="n"/>
      <c r="F37" s="38" t="n"/>
      <c r="G37" s="38" t="n"/>
      <c r="H37" s="38" t="n"/>
      <c r="I37" s="38" t="n"/>
      <c r="J37" s="39" t="n"/>
    </row>
  </sheetData>
  <mergeCells count="11">
    <mergeCell ref="A1:J1"/>
    <mergeCell ref="A36:C36"/>
    <mergeCell ref="D36:J36"/>
    <mergeCell ref="A37:C37"/>
    <mergeCell ref="D35:J35"/>
    <mergeCell ref="A33:J33"/>
    <mergeCell ref="D34:J34"/>
    <mergeCell ref="A34:C34"/>
    <mergeCell ref="A2:J2"/>
    <mergeCell ref="A35:C35"/>
    <mergeCell ref="D37:J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Nguyen Minh Phuc</dc:creator>
  <dcterms:created xmlns:dcterms="http://purl.org/dc/terms/" xmlns:xsi="http://www.w3.org/2001/XMLSchema-instance" xsi:type="dcterms:W3CDTF">2026-09-11T05:32:52Z</dcterms:created>
  <dcterms:modified xmlns:dcterms="http://purl.org/dc/terms/" xmlns:xsi="http://www.w3.org/2001/XMLSchema-instance" xsi:type="dcterms:W3CDTF">2026-09-13T03:22:59Z</dcterms:modified>
  <cp:lastModifiedBy>Nguyen Minh Phuc</cp:lastModifiedBy>
</cp:coreProperties>
</file>