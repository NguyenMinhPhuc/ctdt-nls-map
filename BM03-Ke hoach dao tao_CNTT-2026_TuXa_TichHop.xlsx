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03_TuXa_TichHop_150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3"/>
    </font>
    <font>
      <name val="Times New Roman"/>
      <b val="1"/>
      <i val="1"/>
      <sz val="12"/>
    </font>
    <font>
      <name val="Times New Roman"/>
      <i val="1"/>
      <sz val="11"/>
    </font>
    <font>
      <name val="Times New Roman"/>
      <b val="1"/>
      <color rgb="001E3A8A"/>
      <sz val="14"/>
    </font>
    <font>
      <name val="Times New Roman"/>
      <b val="1"/>
      <sz val="12"/>
    </font>
    <font>
      <name val="Times New Roman"/>
      <b val="1"/>
      <sz val="11"/>
    </font>
    <font>
      <name val="Times New Roman"/>
      <b val="1"/>
      <color rgb="001E3A8A"/>
      <sz val="12"/>
    </font>
    <font>
      <name val="Times New Roman"/>
      <b val="1"/>
      <color rgb="00B91C1C"/>
      <sz val="12"/>
    </font>
    <font>
      <name val="Times New Roman"/>
      <b val="1"/>
      <i val="1"/>
      <sz val="11"/>
    </font>
    <font>
      <name val="Times New Roman"/>
      <i val="1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left" vertical="center"/>
    </xf>
    <xf numFmtId="0" fontId="8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9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showGridLines="1" workbookViewId="0">
      <selection activeCell="A1" sqref="A1"/>
    </sheetView>
  </sheetViews>
  <sheetFormatPr baseColWidth="8" defaultRowHeight="15"/>
  <cols>
    <col width="12.63" customWidth="1" min="1" max="1"/>
    <col width="4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`</t>
        </is>
      </c>
      <c r="C1" s="2" t="inlineStr">
        <is>
          <t>CỘNG HÒA XÃ HỘI CHỦ NGHĨA VIỆT NAM</t>
        </is>
      </c>
    </row>
    <row r="2">
      <c r="A2" s="3" t="inlineStr">
        <is>
          <t>KHOA CÔNG NGHỆ THÔNG TIN</t>
        </is>
      </c>
      <c r="C2" s="4" t="inlineStr">
        <is>
          <t>Độc lập - Tự do - Hạnh phúc</t>
        </is>
      </c>
    </row>
    <row r="3">
      <c r="C3" s="5" t="inlineStr">
        <is>
          <t>Đồng Nai, ngày 20 tháng 4 năm 2026</t>
        </is>
      </c>
    </row>
    <row r="4">
      <c r="A4" s="6" t="inlineStr">
        <is>
          <t>CHƯƠNG TRÌNH ĐÀO TẠO ĐẠI HỌC TỪ XA THEO HỌC CHẾ TÍN CHỈ NIÊN KHÓA 2026 - 2030</t>
        </is>
      </c>
    </row>
    <row r="5">
      <c r="A5" s="7" t="inlineStr">
        <is>
          <t>NGÀNH: CÔNG NGHỆ THÔNG TIN - CHƯƠNG TRÌNH TÍCH HỢP 3 ĐỊNH HƯỚNG (VIBE CODING - MẠNG CISCO - PHÂN TÍCH SỐ LIỆU)</t>
        </is>
      </c>
    </row>
    <row r="7" ht="24" customHeight="1">
      <c r="A7" s="8" t="inlineStr">
        <is>
          <t>Mã MH</t>
        </is>
      </c>
      <c r="B7" s="8" t="inlineStr">
        <is>
          <t>Môn học</t>
        </is>
      </c>
      <c r="C7" s="8" t="inlineStr">
        <is>
          <t>Số tín chỉ</t>
        </is>
      </c>
      <c r="D7" s="8" t="n"/>
      <c r="E7" s="8" t="n"/>
      <c r="F7" s="8" t="n"/>
      <c r="G7" s="8" t="inlineStr">
        <is>
          <t>Số tiết tổng</t>
        </is>
      </c>
      <c r="H7" s="8" t="inlineStr">
        <is>
          <t>Số tiết LT
(Live LMS)</t>
        </is>
      </c>
      <c r="I7" s="8" t="inlineStr">
        <is>
          <t>Số tiết TH
(Virtual Lab)</t>
        </is>
      </c>
      <c r="J7" s="8" t="inlineStr">
        <is>
          <t>Số tiết BT /
Tự học LMS</t>
        </is>
      </c>
      <c r="K7" s="8" t="inlineStr">
        <is>
          <t>Ghi chú định hướng</t>
        </is>
      </c>
    </row>
    <row r="8" ht="24" customHeight="1">
      <c r="A8" s="8" t="n"/>
      <c r="B8" s="8" t="n"/>
      <c r="C8" s="8" t="inlineStr">
        <is>
          <t>Tổng TC</t>
        </is>
      </c>
      <c r="D8" s="8" t="inlineStr">
        <is>
          <t>Lý thuyết</t>
        </is>
      </c>
      <c r="E8" s="8" t="inlineStr">
        <is>
          <t>Thực hành</t>
        </is>
      </c>
      <c r="F8" s="8" t="inlineStr">
        <is>
          <t>Bài tập</t>
        </is>
      </c>
      <c r="G8" s="8" t="n"/>
      <c r="H8" s="8" t="n"/>
      <c r="I8" s="8" t="n"/>
      <c r="J8" s="8" t="n"/>
      <c r="K8" s="8" t="n"/>
    </row>
    <row r="9" ht="20" customHeight="1">
      <c r="A9" s="9" t="inlineStr">
        <is>
          <t>102113</t>
        </is>
      </c>
      <c r="B9" s="10" t="inlineStr">
        <is>
          <t>Toán cao cấp 1 {CNTT}</t>
        </is>
      </c>
      <c r="C9" s="9" t="n">
        <v>4</v>
      </c>
      <c r="D9" s="9" t="n">
        <v>2</v>
      </c>
      <c r="E9" s="9" t="n">
        <v>2</v>
      </c>
      <c r="F9" s="9" t="n">
        <v>0</v>
      </c>
      <c r="G9" s="9">
        <f>C9*50</f>
        <v/>
      </c>
      <c r="H9" s="9" t="n">
        <v>30</v>
      </c>
      <c r="I9" s="9" t="n">
        <v>60</v>
      </c>
      <c r="J9" s="9">
        <f>G9-H9-I9</f>
        <v/>
      </c>
      <c r="K9" s="9" t="inlineStr">
        <is>
          <t>Môn cơ bản</t>
        </is>
      </c>
    </row>
    <row r="10" ht="20" customHeight="1">
      <c r="A10" s="9" t="inlineStr">
        <is>
          <t>102146</t>
        </is>
      </c>
      <c r="B10" s="10" t="inlineStr">
        <is>
          <t>Ngoại ngữ 1</t>
        </is>
      </c>
      <c r="C10" s="9" t="n">
        <v>2</v>
      </c>
      <c r="D10" s="9" t="n">
        <v>1</v>
      </c>
      <c r="E10" s="9" t="n">
        <v>1</v>
      </c>
      <c r="F10" s="9" t="n">
        <v>0</v>
      </c>
      <c r="G10" s="9">
        <f>C10*50</f>
        <v/>
      </c>
      <c r="H10" s="9" t="n">
        <v>15</v>
      </c>
      <c r="I10" s="9" t="n">
        <v>30</v>
      </c>
      <c r="J10" s="9">
        <f>G10-H10-I10</f>
        <v/>
      </c>
      <c r="K10" s="9" t="inlineStr">
        <is>
          <t>Môn cơ sở</t>
        </is>
      </c>
    </row>
    <row r="11" ht="20" customHeight="1">
      <c r="A11" s="9" t="inlineStr">
        <is>
          <t>111154</t>
        </is>
      </c>
      <c r="B11" s="10" t="inlineStr">
        <is>
          <t>Nhập môn Ngành</t>
        </is>
      </c>
      <c r="C11" s="9" t="n">
        <v>3</v>
      </c>
      <c r="D11" s="9" t="n">
        <v>3</v>
      </c>
      <c r="E11" s="9" t="n">
        <v>0</v>
      </c>
      <c r="F11" s="9" t="n">
        <v>0</v>
      </c>
      <c r="G11" s="9">
        <f>C11*50</f>
        <v/>
      </c>
      <c r="H11" s="9" t="n">
        <v>45</v>
      </c>
      <c r="I11" s="9" t="n">
        <v>0</v>
      </c>
      <c r="J11" s="9">
        <f>G11-H11-I11</f>
        <v/>
      </c>
      <c r="K11" s="9" t="inlineStr">
        <is>
          <t>Môn cơ sở</t>
        </is>
      </c>
    </row>
    <row r="12" ht="20" customHeight="1">
      <c r="A12" s="9" t="inlineStr">
        <is>
          <t>111155</t>
        </is>
      </c>
      <c r="B12" s="10" t="inlineStr">
        <is>
          <t>Nhập môn lập trình</t>
        </is>
      </c>
      <c r="C12" s="9" t="n">
        <v>3</v>
      </c>
      <c r="D12" s="9" t="n">
        <v>1</v>
      </c>
      <c r="E12" s="9" t="n">
        <v>2</v>
      </c>
      <c r="F12" s="9" t="n">
        <v>0</v>
      </c>
      <c r="G12" s="9">
        <f>C12*50</f>
        <v/>
      </c>
      <c r="H12" s="9" t="n">
        <v>15</v>
      </c>
      <c r="I12" s="9" t="n">
        <v>60</v>
      </c>
      <c r="J12" s="9">
        <f>G12-H12-I12</f>
        <v/>
      </c>
      <c r="K12" s="9" t="inlineStr">
        <is>
          <t>Môn cơ sở</t>
        </is>
      </c>
    </row>
    <row r="13" ht="20" customHeight="1">
      <c r="A13" s="9" t="inlineStr">
        <is>
          <t>111156</t>
        </is>
      </c>
      <c r="B13" s="10" t="inlineStr">
        <is>
          <t>Lắp ráp và tối ưu hệ thống máy tính</t>
        </is>
      </c>
      <c r="C13" s="9" t="n">
        <v>3</v>
      </c>
      <c r="D13" s="9" t="n">
        <v>1</v>
      </c>
      <c r="E13" s="9" t="n">
        <v>2</v>
      </c>
      <c r="F13" s="9" t="n">
        <v>0</v>
      </c>
      <c r="G13" s="9">
        <f>C13*50</f>
        <v/>
      </c>
      <c r="H13" s="9" t="n">
        <v>15</v>
      </c>
      <c r="I13" s="9" t="n">
        <v>60</v>
      </c>
      <c r="J13" s="9">
        <f>G13-H13-I13</f>
        <v/>
      </c>
      <c r="K13" s="9" t="inlineStr">
        <is>
          <t>Môn cơ sở</t>
        </is>
      </c>
    </row>
    <row r="14" ht="20" customHeight="1">
      <c r="A14" s="9" t="inlineStr">
        <is>
          <t>111157</t>
        </is>
      </c>
      <c r="B14" s="10" t="inlineStr">
        <is>
          <t>Phần mềm mã nguồn mở</t>
        </is>
      </c>
      <c r="C14" s="9" t="n">
        <v>3</v>
      </c>
      <c r="D14" s="9" t="n">
        <v>1</v>
      </c>
      <c r="E14" s="9" t="n">
        <v>2</v>
      </c>
      <c r="F14" s="9" t="n">
        <v>0</v>
      </c>
      <c r="G14" s="9">
        <f>C14*50</f>
        <v/>
      </c>
      <c r="H14" s="9" t="n">
        <v>15</v>
      </c>
      <c r="I14" s="9" t="n">
        <v>60</v>
      </c>
      <c r="J14" s="9">
        <f>G14-H14-I14</f>
        <v/>
      </c>
      <c r="K14" s="9" t="inlineStr">
        <is>
          <t>Môn cơ sở</t>
        </is>
      </c>
    </row>
    <row r="15" ht="20" customHeight="1">
      <c r="A15" s="9" t="inlineStr">
        <is>
          <t>111158</t>
        </is>
      </c>
      <c r="B15" s="10" t="inlineStr">
        <is>
          <t>Vật lý thực hành</t>
        </is>
      </c>
      <c r="C15" s="9" t="n">
        <v>2</v>
      </c>
      <c r="D15" s="9" t="n">
        <v>0</v>
      </c>
      <c r="E15" s="9" t="n">
        <v>2</v>
      </c>
      <c r="F15" s="9" t="n">
        <v>0</v>
      </c>
      <c r="G15" s="9">
        <f>C15*50</f>
        <v/>
      </c>
      <c r="H15" s="9" t="n">
        <v>0</v>
      </c>
      <c r="I15" s="9" t="n">
        <v>60</v>
      </c>
      <c r="J15" s="9">
        <f>G15-H15-I15</f>
        <v/>
      </c>
      <c r="K15" s="9" t="inlineStr">
        <is>
          <t>Môn cơ bản</t>
        </is>
      </c>
    </row>
    <row r="16" ht="22" customHeight="1">
      <c r="A16" s="11" t="inlineStr">
        <is>
          <t>TỔNG CỘNG HỌC KỲ 1</t>
        </is>
      </c>
      <c r="B16" s="12" t="n"/>
      <c r="C16" s="11">
        <f>SUBTOTAL(9,C9:C15)</f>
        <v/>
      </c>
      <c r="D16" s="11">
        <f>SUBTOTAL(9,D9:D15)</f>
        <v/>
      </c>
      <c r="E16" s="11">
        <f>SUBTOTAL(9,E9:E15)</f>
        <v/>
      </c>
      <c r="F16" s="11">
        <f>SUBTOTAL(9,F9:F15)</f>
        <v/>
      </c>
      <c r="G16" s="11">
        <f>SUBTOTAL(9,G9:G15)</f>
        <v/>
      </c>
      <c r="H16" s="11">
        <f>SUBTOTAL(9,H9:H15)</f>
        <v/>
      </c>
      <c r="I16" s="11">
        <f>SUBTOTAL(9,I9:I15)</f>
        <v/>
      </c>
      <c r="J16" s="11">
        <f>SUBTOTAL(9,J9:J15)</f>
        <v/>
      </c>
      <c r="K16" s="12" t="n"/>
    </row>
    <row r="17" ht="20" customHeight="1">
      <c r="A17" s="9" t="inlineStr">
        <is>
          <t>102087</t>
        </is>
      </c>
      <c r="B17" s="10" t="inlineStr">
        <is>
          <t>Xác suất thống kê</t>
        </is>
      </c>
      <c r="C17" s="9" t="n">
        <v>2</v>
      </c>
      <c r="D17" s="9" t="n">
        <v>2</v>
      </c>
      <c r="E17" s="9" t="n">
        <v>0</v>
      </c>
      <c r="F17" s="9" t="n">
        <v>0</v>
      </c>
      <c r="G17" s="9">
        <f>C17*50</f>
        <v/>
      </c>
      <c r="H17" s="9" t="n">
        <v>30</v>
      </c>
      <c r="I17" s="9" t="n">
        <v>0</v>
      </c>
      <c r="J17" s="9">
        <f>G17-H17-I17</f>
        <v/>
      </c>
      <c r="K17" s="9" t="inlineStr">
        <is>
          <t>Môn cơ bản</t>
        </is>
      </c>
    </row>
    <row r="18" ht="20" customHeight="1">
      <c r="A18" s="9" t="inlineStr">
        <is>
          <t>102147</t>
        </is>
      </c>
      <c r="B18" s="10" t="inlineStr">
        <is>
          <t>Ngoại ngữ 2</t>
        </is>
      </c>
      <c r="C18" s="9" t="n">
        <v>2</v>
      </c>
      <c r="D18" s="9" t="n">
        <v>1</v>
      </c>
      <c r="E18" s="9" t="n">
        <v>1</v>
      </c>
      <c r="F18" s="9" t="n">
        <v>0</v>
      </c>
      <c r="G18" s="9">
        <f>C18*50</f>
        <v/>
      </c>
      <c r="H18" s="9" t="n">
        <v>15</v>
      </c>
      <c r="I18" s="9" t="n">
        <v>30</v>
      </c>
      <c r="J18" s="9">
        <f>G18-H18-I18</f>
        <v/>
      </c>
      <c r="K18" s="9" t="inlineStr">
        <is>
          <t>Môn cơ sở</t>
        </is>
      </c>
    </row>
    <row r="19" ht="20" customHeight="1">
      <c r="A19" s="9" t="inlineStr">
        <is>
          <t>102112</t>
        </is>
      </c>
      <c r="B19" s="10" t="inlineStr">
        <is>
          <t>Tin học đại cương</t>
        </is>
      </c>
      <c r="C19" s="9" t="n">
        <v>3</v>
      </c>
      <c r="D19" s="9" t="n">
        <v>2</v>
      </c>
      <c r="E19" s="9" t="n">
        <v>1</v>
      </c>
      <c r="F19" s="9" t="n">
        <v>0</v>
      </c>
      <c r="G19" s="9">
        <f>C19*50</f>
        <v/>
      </c>
      <c r="H19" s="9" t="n">
        <v>30</v>
      </c>
      <c r="I19" s="9" t="n">
        <v>30</v>
      </c>
      <c r="J19" s="9">
        <f>G19-H19-I19</f>
        <v/>
      </c>
      <c r="K19" s="9" t="inlineStr">
        <is>
          <t>Môn cơ bản</t>
        </is>
      </c>
    </row>
    <row r="20" ht="20" customHeight="1">
      <c r="A20" s="9" t="inlineStr">
        <is>
          <t>111159</t>
        </is>
      </c>
      <c r="B20" s="10" t="inlineStr">
        <is>
          <t>Điện tử trong IoT</t>
        </is>
      </c>
      <c r="C20" s="9" t="n">
        <v>3</v>
      </c>
      <c r="D20" s="9" t="n">
        <v>1</v>
      </c>
      <c r="E20" s="9" t="n">
        <v>2</v>
      </c>
      <c r="F20" s="9" t="n">
        <v>0</v>
      </c>
      <c r="G20" s="9">
        <f>C20*50</f>
        <v/>
      </c>
      <c r="H20" s="9" t="n">
        <v>15</v>
      </c>
      <c r="I20" s="9" t="n">
        <v>60</v>
      </c>
      <c r="J20" s="9">
        <f>G20-H20-I20</f>
        <v/>
      </c>
      <c r="K20" s="9" t="inlineStr">
        <is>
          <t>Môn cơ sở</t>
        </is>
      </c>
    </row>
    <row r="21" ht="20" customHeight="1">
      <c r="A21" s="9" t="inlineStr">
        <is>
          <t>111174</t>
        </is>
      </c>
      <c r="B21" s="10" t="inlineStr">
        <is>
          <t>Toán rời rạc và LTDT</t>
        </is>
      </c>
      <c r="C21" s="9" t="n">
        <v>3</v>
      </c>
      <c r="D21" s="9" t="n">
        <v>2</v>
      </c>
      <c r="E21" s="9" t="n">
        <v>1</v>
      </c>
      <c r="F21" s="9" t="n">
        <v>0</v>
      </c>
      <c r="G21" s="9">
        <f>C21*50</f>
        <v/>
      </c>
      <c r="H21" s="9" t="n">
        <v>30</v>
      </c>
      <c r="I21" s="9" t="n">
        <v>30</v>
      </c>
      <c r="J21" s="9">
        <f>G21-H21-I21</f>
        <v/>
      </c>
      <c r="K21" s="9" t="inlineStr">
        <is>
          <t>Môn cơ sở</t>
        </is>
      </c>
    </row>
    <row r="22" ht="20" customHeight="1">
      <c r="A22" s="9" t="inlineStr">
        <is>
          <t>111161</t>
        </is>
      </c>
      <c r="B22" s="10" t="inlineStr">
        <is>
          <t>Kỹ thuật lập trình</t>
        </is>
      </c>
      <c r="C22" s="9" t="n">
        <v>3</v>
      </c>
      <c r="D22" s="9" t="n">
        <v>1</v>
      </c>
      <c r="E22" s="9" t="n">
        <v>2</v>
      </c>
      <c r="F22" s="9" t="n">
        <v>0</v>
      </c>
      <c r="G22" s="9">
        <f>C22*50</f>
        <v/>
      </c>
      <c r="H22" s="9" t="n">
        <v>15</v>
      </c>
      <c r="I22" s="9" t="n">
        <v>60</v>
      </c>
      <c r="J22" s="9">
        <f>G22-H22-I22</f>
        <v/>
      </c>
      <c r="K22" s="9" t="inlineStr">
        <is>
          <t>Môn cơ sở</t>
        </is>
      </c>
    </row>
    <row r="23" ht="20" customHeight="1">
      <c r="A23" s="9" t="inlineStr">
        <is>
          <t>111162</t>
        </is>
      </c>
      <c r="B23" s="10" t="inlineStr">
        <is>
          <t>Thiết kế UI/UX</t>
        </is>
      </c>
      <c r="C23" s="9" t="n">
        <v>3</v>
      </c>
      <c r="D23" s="9" t="n">
        <v>1</v>
      </c>
      <c r="E23" s="9" t="n">
        <v>2</v>
      </c>
      <c r="F23" s="9" t="n">
        <v>0</v>
      </c>
      <c r="G23" s="9">
        <f>C23*50</f>
        <v/>
      </c>
      <c r="H23" s="9" t="n">
        <v>15</v>
      </c>
      <c r="I23" s="9" t="n">
        <v>60</v>
      </c>
      <c r="J23" s="9">
        <f>G23-H23-I23</f>
        <v/>
      </c>
      <c r="K23" s="9" t="inlineStr">
        <is>
          <t>Môn cơ sở</t>
        </is>
      </c>
    </row>
    <row r="24" ht="22" customHeight="1">
      <c r="A24" s="11" t="inlineStr">
        <is>
          <t>TỔNG CỘNG HỌC KỲ 2</t>
        </is>
      </c>
      <c r="B24" s="12" t="n"/>
      <c r="C24" s="11">
        <f>SUBTOTAL(9,C17:C23)</f>
        <v/>
      </c>
      <c r="D24" s="11">
        <f>SUBTOTAL(9,D17:D23)</f>
        <v/>
      </c>
      <c r="E24" s="11">
        <f>SUBTOTAL(9,E17:E23)</f>
        <v/>
      </c>
      <c r="F24" s="11">
        <f>SUBTOTAL(9,F17:F23)</f>
        <v/>
      </c>
      <c r="G24" s="11">
        <f>SUBTOTAL(9,G17:G23)</f>
        <v/>
      </c>
      <c r="H24" s="11">
        <f>SUBTOTAL(9,H17:H23)</f>
        <v/>
      </c>
      <c r="I24" s="11">
        <f>SUBTOTAL(9,I17:I23)</f>
        <v/>
      </c>
      <c r="J24" s="11">
        <f>SUBTOTAL(9,J17:J23)</f>
        <v/>
      </c>
      <c r="K24" s="12" t="n"/>
    </row>
    <row r="25" ht="20" customHeight="1">
      <c r="A25" s="9" t="inlineStr">
        <is>
          <t>102063</t>
        </is>
      </c>
      <c r="B25" s="10" t="inlineStr">
        <is>
          <t>Triết học Mác - Lênin</t>
        </is>
      </c>
      <c r="C25" s="9" t="n">
        <v>3</v>
      </c>
      <c r="D25" s="9" t="n">
        <v>3</v>
      </c>
      <c r="E25" s="9" t="n">
        <v>0</v>
      </c>
      <c r="F25" s="9" t="n">
        <v>0</v>
      </c>
      <c r="G25" s="9">
        <f>C25*50</f>
        <v/>
      </c>
      <c r="H25" s="9" t="n">
        <v>45</v>
      </c>
      <c r="I25" s="9" t="n">
        <v>0</v>
      </c>
      <c r="J25" s="9">
        <f>G25-H25-I25</f>
        <v/>
      </c>
      <c r="K25" s="9" t="inlineStr">
        <is>
          <t>Môn cơ bản</t>
        </is>
      </c>
    </row>
    <row r="26" ht="20" customHeight="1">
      <c r="A26" s="9" t="inlineStr">
        <is>
          <t>102064</t>
        </is>
      </c>
      <c r="B26" s="10" t="inlineStr">
        <is>
          <t>Kinh tế chính trị Mác - Lênin</t>
        </is>
      </c>
      <c r="C26" s="9" t="n">
        <v>2</v>
      </c>
      <c r="D26" s="9" t="n">
        <v>2</v>
      </c>
      <c r="E26" s="9" t="n">
        <v>0</v>
      </c>
      <c r="F26" s="9" t="n">
        <v>0</v>
      </c>
      <c r="G26" s="9">
        <f>C26*50</f>
        <v/>
      </c>
      <c r="H26" s="9" t="n">
        <v>30</v>
      </c>
      <c r="I26" s="9" t="n">
        <v>0</v>
      </c>
      <c r="J26" s="9">
        <f>G26-H26-I26</f>
        <v/>
      </c>
      <c r="K26" s="9" t="inlineStr">
        <is>
          <t>Môn cơ bản</t>
        </is>
      </c>
    </row>
    <row r="27" ht="20" customHeight="1">
      <c r="A27" s="9" t="inlineStr">
        <is>
          <t>102065</t>
        </is>
      </c>
      <c r="B27" s="10" t="inlineStr">
        <is>
          <t>Chủ nghĩa xã hội khoa học</t>
        </is>
      </c>
      <c r="C27" s="9" t="n">
        <v>2</v>
      </c>
      <c r="D27" s="9" t="n">
        <v>2</v>
      </c>
      <c r="E27" s="9" t="n">
        <v>0</v>
      </c>
      <c r="F27" s="9" t="n">
        <v>0</v>
      </c>
      <c r="G27" s="9">
        <f>C27*50</f>
        <v/>
      </c>
      <c r="H27" s="9" t="n">
        <v>30</v>
      </c>
      <c r="I27" s="9" t="n">
        <v>0</v>
      </c>
      <c r="J27" s="9">
        <f>G27-H27-I27</f>
        <v/>
      </c>
      <c r="K27" s="9" t="inlineStr">
        <is>
          <t>Môn cơ bản</t>
        </is>
      </c>
    </row>
    <row r="28" ht="20" customHeight="1">
      <c r="A28" s="9" t="inlineStr">
        <is>
          <t>102148</t>
        </is>
      </c>
      <c r="B28" s="10" t="inlineStr">
        <is>
          <t>Ngoại ngữ 3</t>
        </is>
      </c>
      <c r="C28" s="9" t="n">
        <v>2</v>
      </c>
      <c r="D28" s="9" t="n">
        <v>1</v>
      </c>
      <c r="E28" s="9" t="n">
        <v>1</v>
      </c>
      <c r="F28" s="9" t="n">
        <v>0</v>
      </c>
      <c r="G28" s="9">
        <f>C28*50</f>
        <v/>
      </c>
      <c r="H28" s="9" t="n">
        <v>15</v>
      </c>
      <c r="I28" s="9" t="n">
        <v>30</v>
      </c>
      <c r="J28" s="9">
        <f>G28-H28-I28</f>
        <v/>
      </c>
      <c r="K28" s="9" t="inlineStr">
        <is>
          <t>Môn cơ sở</t>
        </is>
      </c>
    </row>
    <row r="29" ht="20" customHeight="1">
      <c r="A29" s="9" t="inlineStr">
        <is>
          <t>111160</t>
        </is>
      </c>
      <c r="B29" s="10" t="inlineStr">
        <is>
          <t>Mạng máy tính (Cisco CCNA 1)</t>
        </is>
      </c>
      <c r="C29" s="9" t="n">
        <v>3</v>
      </c>
      <c r="D29" s="9" t="n">
        <v>1.5</v>
      </c>
      <c r="E29" s="9" t="n">
        <v>1.5</v>
      </c>
      <c r="F29" s="9" t="n">
        <v>0</v>
      </c>
      <c r="G29" s="9">
        <f>C29*50</f>
        <v/>
      </c>
      <c r="H29" s="9" t="n">
        <v>22</v>
      </c>
      <c r="I29" s="9" t="n">
        <v>45</v>
      </c>
      <c r="J29" s="9">
        <f>G29-H29-I29</f>
        <v/>
      </c>
      <c r="K29" s="9" t="inlineStr">
        <is>
          <t>Môn cơ sở</t>
        </is>
      </c>
    </row>
    <row r="30" ht="20" customHeight="1">
      <c r="A30" s="9" t="inlineStr">
        <is>
          <t>111163</t>
        </is>
      </c>
      <c r="B30" s="10" t="inlineStr">
        <is>
          <t>Tín hiệu số cơ bản</t>
        </is>
      </c>
      <c r="C30" s="9" t="n">
        <v>2</v>
      </c>
      <c r="D30" s="9" t="n">
        <v>1</v>
      </c>
      <c r="E30" s="9" t="n">
        <v>1</v>
      </c>
      <c r="F30" s="9" t="n">
        <v>0</v>
      </c>
      <c r="G30" s="9">
        <f>C30*50</f>
        <v/>
      </c>
      <c r="H30" s="9" t="n">
        <v>15</v>
      </c>
      <c r="I30" s="9" t="n">
        <v>30</v>
      </c>
      <c r="J30" s="9">
        <f>G30-H30-I30</f>
        <v/>
      </c>
      <c r="K30" s="9" t="inlineStr">
        <is>
          <t>Môn cơ sở</t>
        </is>
      </c>
    </row>
    <row r="31" ht="20" customHeight="1">
      <c r="A31" s="9" t="inlineStr">
        <is>
          <t>111164</t>
        </is>
      </c>
      <c r="B31" s="10" t="inlineStr">
        <is>
          <t>Thiết kế web</t>
        </is>
      </c>
      <c r="C31" s="9" t="n">
        <v>3</v>
      </c>
      <c r="D31" s="9" t="n">
        <v>1</v>
      </c>
      <c r="E31" s="9" t="n">
        <v>2</v>
      </c>
      <c r="F31" s="9" t="n">
        <v>0</v>
      </c>
      <c r="G31" s="9">
        <f>C31*50</f>
        <v/>
      </c>
      <c r="H31" s="9" t="n">
        <v>15</v>
      </c>
      <c r="I31" s="9" t="n">
        <v>60</v>
      </c>
      <c r="J31" s="9">
        <f>G31-H31-I31</f>
        <v/>
      </c>
      <c r="K31" s="9" t="inlineStr">
        <is>
          <t>Môn cơ sở</t>
        </is>
      </c>
    </row>
    <row r="32" ht="20" customHeight="1">
      <c r="A32" s="9" t="inlineStr">
        <is>
          <t>111166</t>
        </is>
      </c>
      <c r="B32" s="10" t="inlineStr">
        <is>
          <t>Cơ sở dữ liệu</t>
        </is>
      </c>
      <c r="C32" s="9" t="n">
        <v>3</v>
      </c>
      <c r="D32" s="9" t="n">
        <v>1.5</v>
      </c>
      <c r="E32" s="9" t="n">
        <v>1.5</v>
      </c>
      <c r="F32" s="9" t="n">
        <v>0</v>
      </c>
      <c r="G32" s="9">
        <f>C32*50</f>
        <v/>
      </c>
      <c r="H32" s="9" t="n">
        <v>22</v>
      </c>
      <c r="I32" s="9" t="n">
        <v>45</v>
      </c>
      <c r="J32" s="9">
        <f>G32-H32-I32</f>
        <v/>
      </c>
      <c r="K32" s="9" t="inlineStr">
        <is>
          <t>Môn cơ sở</t>
        </is>
      </c>
    </row>
    <row r="33" ht="20" customHeight="1">
      <c r="A33" s="9" t="inlineStr">
        <is>
          <t>111167</t>
        </is>
      </c>
      <c r="B33" s="10" t="inlineStr">
        <is>
          <t>Cấu trúc dữ liệu và giải thuật</t>
        </is>
      </c>
      <c r="C33" s="9" t="n">
        <v>3</v>
      </c>
      <c r="D33" s="9" t="n">
        <v>1.5</v>
      </c>
      <c r="E33" s="9" t="n">
        <v>1.5</v>
      </c>
      <c r="F33" s="9" t="n">
        <v>0</v>
      </c>
      <c r="G33" s="9">
        <f>C33*50</f>
        <v/>
      </c>
      <c r="H33" s="9" t="n">
        <v>22</v>
      </c>
      <c r="I33" s="9" t="n">
        <v>45</v>
      </c>
      <c r="J33" s="9">
        <f>G33-H33-I33</f>
        <v/>
      </c>
      <c r="K33" s="9" t="inlineStr">
        <is>
          <t>Môn cơ sở</t>
        </is>
      </c>
    </row>
    <row r="34" ht="22" customHeight="1">
      <c r="A34" s="11" t="inlineStr">
        <is>
          <t>TỔNG CỘNG HỌC KỲ 3</t>
        </is>
      </c>
      <c r="B34" s="12" t="n"/>
      <c r="C34" s="11">
        <f>SUBTOTAL(9,C25:C33)</f>
        <v/>
      </c>
      <c r="D34" s="11">
        <f>SUBTOTAL(9,D25:D33)</f>
        <v/>
      </c>
      <c r="E34" s="11">
        <f>SUBTOTAL(9,E25:E33)</f>
        <v/>
      </c>
      <c r="F34" s="11">
        <f>SUBTOTAL(9,F25:F33)</f>
        <v/>
      </c>
      <c r="G34" s="11">
        <f>SUBTOTAL(9,G25:G33)</f>
        <v/>
      </c>
      <c r="H34" s="11">
        <f>SUBTOTAL(9,H25:H33)</f>
        <v/>
      </c>
      <c r="I34" s="11">
        <f>SUBTOTAL(9,I25:I33)</f>
        <v/>
      </c>
      <c r="J34" s="11">
        <f>SUBTOTAL(9,J25:J33)</f>
        <v/>
      </c>
      <c r="K34" s="12" t="n"/>
    </row>
    <row r="35" ht="20" customHeight="1">
      <c r="A35" s="9" t="inlineStr">
        <is>
          <t>102033</t>
        </is>
      </c>
      <c r="B35" s="10" t="inlineStr">
        <is>
          <t>Tư tưởng Hồ Chí Minh</t>
        </is>
      </c>
      <c r="C35" s="9" t="n">
        <v>2</v>
      </c>
      <c r="D35" s="9" t="n">
        <v>2</v>
      </c>
      <c r="E35" s="9" t="n">
        <v>0</v>
      </c>
      <c r="F35" s="9" t="n">
        <v>0</v>
      </c>
      <c r="G35" s="9">
        <f>C35*50</f>
        <v/>
      </c>
      <c r="H35" s="9" t="n">
        <v>30</v>
      </c>
      <c r="I35" s="9" t="n">
        <v>0</v>
      </c>
      <c r="J35" s="9">
        <f>G35-H35-I35</f>
        <v/>
      </c>
      <c r="K35" s="9" t="inlineStr">
        <is>
          <t>Môn cơ bản</t>
        </is>
      </c>
    </row>
    <row r="36" ht="20" customHeight="1">
      <c r="A36" s="9" t="inlineStr">
        <is>
          <t>102153</t>
        </is>
      </c>
      <c r="B36" s="10" t="inlineStr">
        <is>
          <t>Pháp luật đại cương</t>
        </is>
      </c>
      <c r="C36" s="9" t="n">
        <v>3</v>
      </c>
      <c r="D36" s="9" t="n">
        <v>3</v>
      </c>
      <c r="E36" s="9" t="n">
        <v>0</v>
      </c>
      <c r="F36" s="9" t="n">
        <v>0</v>
      </c>
      <c r="G36" s="9">
        <f>C36*50</f>
        <v/>
      </c>
      <c r="H36" s="9" t="n">
        <v>45</v>
      </c>
      <c r="I36" s="9" t="n">
        <v>0</v>
      </c>
      <c r="J36" s="9">
        <f>G36-H36-I36</f>
        <v/>
      </c>
      <c r="K36" s="9" t="inlineStr">
        <is>
          <t>Môn cơ bản</t>
        </is>
      </c>
    </row>
    <row r="37" ht="20" customHeight="1">
      <c r="A37" s="9" t="inlineStr">
        <is>
          <t>102149</t>
        </is>
      </c>
      <c r="B37" s="10" t="inlineStr">
        <is>
          <t>Ngoại ngữ 4</t>
        </is>
      </c>
      <c r="C37" s="9" t="n">
        <v>3</v>
      </c>
      <c r="D37" s="9" t="n">
        <v>2</v>
      </c>
      <c r="E37" s="9" t="n">
        <v>1</v>
      </c>
      <c r="F37" s="9" t="n">
        <v>0</v>
      </c>
      <c r="G37" s="9">
        <f>C37*50</f>
        <v/>
      </c>
      <c r="H37" s="9" t="n">
        <v>30</v>
      </c>
      <c r="I37" s="9" t="n">
        <v>30</v>
      </c>
      <c r="J37" s="9">
        <f>G37-H37-I37</f>
        <v/>
      </c>
      <c r="K37" s="9" t="inlineStr">
        <is>
          <t>Môn cơ sở</t>
        </is>
      </c>
    </row>
    <row r="38" ht="20" customHeight="1">
      <c r="A38" s="9" t="inlineStr">
        <is>
          <t>111165</t>
        </is>
      </c>
      <c r="B38" s="10" t="inlineStr">
        <is>
          <t>Mạng máy tính nâng cao</t>
        </is>
      </c>
      <c r="C38" s="9" t="n">
        <v>3</v>
      </c>
      <c r="D38" s="9" t="n">
        <v>1.5</v>
      </c>
      <c r="E38" s="9" t="n">
        <v>1.5</v>
      </c>
      <c r="F38" s="9" t="n">
        <v>0</v>
      </c>
      <c r="G38" s="9">
        <f>C38*50</f>
        <v/>
      </c>
      <c r="H38" s="9" t="n">
        <v>22</v>
      </c>
      <c r="I38" s="9" t="n">
        <v>45</v>
      </c>
      <c r="J38" s="9">
        <f>G38-H38-I38</f>
        <v/>
      </c>
      <c r="K38" s="9" t="inlineStr">
        <is>
          <t>Môn cơ sở</t>
        </is>
      </c>
    </row>
    <row r="39" ht="20" customHeight="1">
      <c r="A39" s="9" t="inlineStr">
        <is>
          <t>111170</t>
        </is>
      </c>
      <c r="B39" s="10" t="inlineStr">
        <is>
          <t>Hệ quản trị CSDL</t>
        </is>
      </c>
      <c r="C39" s="9" t="n">
        <v>3</v>
      </c>
      <c r="D39" s="9" t="n">
        <v>1.5</v>
      </c>
      <c r="E39" s="9" t="n">
        <v>1.5</v>
      </c>
      <c r="F39" s="9" t="n">
        <v>0</v>
      </c>
      <c r="G39" s="9">
        <f>C39*50</f>
        <v/>
      </c>
      <c r="H39" s="9" t="n">
        <v>22</v>
      </c>
      <c r="I39" s="9" t="n">
        <v>45</v>
      </c>
      <c r="J39" s="9">
        <f>G39-H39-I39</f>
        <v/>
      </c>
      <c r="K39" s="9" t="inlineStr">
        <is>
          <t>Môn cơ sở</t>
        </is>
      </c>
    </row>
    <row r="40" ht="20" customHeight="1">
      <c r="A40" s="9" t="inlineStr">
        <is>
          <t>111171</t>
        </is>
      </c>
      <c r="B40" s="10" t="inlineStr">
        <is>
          <t>Lập trình Front-End</t>
        </is>
      </c>
      <c r="C40" s="9" t="n">
        <v>3</v>
      </c>
      <c r="D40" s="9" t="n">
        <v>1</v>
      </c>
      <c r="E40" s="9" t="n">
        <v>2</v>
      </c>
      <c r="F40" s="9" t="n">
        <v>0</v>
      </c>
      <c r="G40" s="9">
        <f>C40*50</f>
        <v/>
      </c>
      <c r="H40" s="9" t="n">
        <v>15</v>
      </c>
      <c r="I40" s="9" t="n">
        <v>60</v>
      </c>
      <c r="J40" s="9">
        <f>G40-H40-I40</f>
        <v/>
      </c>
      <c r="K40" s="9" t="inlineStr">
        <is>
          <t>Môn cơ sở</t>
        </is>
      </c>
    </row>
    <row r="41" ht="20" customHeight="1">
      <c r="A41" s="9" t="inlineStr">
        <is>
          <t>111172</t>
        </is>
      </c>
      <c r="B41" s="10" t="inlineStr">
        <is>
          <t>Lập trình hướng đối tượng</t>
        </is>
      </c>
      <c r="C41" s="9" t="n">
        <v>3</v>
      </c>
      <c r="D41" s="9" t="n">
        <v>1.5</v>
      </c>
      <c r="E41" s="9" t="n">
        <v>1.5</v>
      </c>
      <c r="F41" s="9" t="n">
        <v>0</v>
      </c>
      <c r="G41" s="9">
        <f>C41*50</f>
        <v/>
      </c>
      <c r="H41" s="9" t="n">
        <v>22</v>
      </c>
      <c r="I41" s="9" t="n">
        <v>45</v>
      </c>
      <c r="J41" s="9">
        <f>G41-H41-I41</f>
        <v/>
      </c>
      <c r="K41" s="9" t="inlineStr">
        <is>
          <t>Môn cơ sở</t>
        </is>
      </c>
    </row>
    <row r="42" ht="20" customHeight="1">
      <c r="A42" s="9" t="inlineStr">
        <is>
          <t>111173</t>
        </is>
      </c>
      <c r="B42" s="10" t="inlineStr">
        <is>
          <t>Kiến tập từ xa &amp; Trải nghiệm thực tế</t>
        </is>
      </c>
      <c r="C42" s="9" t="n">
        <v>2</v>
      </c>
      <c r="D42" s="9" t="n">
        <v>0</v>
      </c>
      <c r="E42" s="9" t="n">
        <v>2</v>
      </c>
      <c r="F42" s="9" t="n">
        <v>0</v>
      </c>
      <c r="G42" s="9">
        <f>C42*50</f>
        <v/>
      </c>
      <c r="H42" s="9" t="n">
        <v>0</v>
      </c>
      <c r="I42" s="9" t="n">
        <v>60</v>
      </c>
      <c r="J42" s="9">
        <f>G42-H42-I42</f>
        <v/>
      </c>
      <c r="K42" s="9" t="inlineStr">
        <is>
          <t>Môn cơ sở</t>
        </is>
      </c>
    </row>
    <row r="43" ht="22" customHeight="1">
      <c r="A43" s="11" t="inlineStr">
        <is>
          <t>TỔNG CỘNG HỌC KỲ 4</t>
        </is>
      </c>
      <c r="B43" s="12" t="n"/>
      <c r="C43" s="11">
        <f>SUBTOTAL(9,C35:C42)</f>
        <v/>
      </c>
      <c r="D43" s="11">
        <f>SUBTOTAL(9,D35:D42)</f>
        <v/>
      </c>
      <c r="E43" s="11">
        <f>SUBTOTAL(9,E35:E42)</f>
        <v/>
      </c>
      <c r="F43" s="11">
        <f>SUBTOTAL(9,F35:F42)</f>
        <v/>
      </c>
      <c r="G43" s="11">
        <f>SUBTOTAL(9,G35:G42)</f>
        <v/>
      </c>
      <c r="H43" s="11">
        <f>SUBTOTAL(9,H35:H42)</f>
        <v/>
      </c>
      <c r="I43" s="11">
        <f>SUBTOTAL(9,I35:I42)</f>
        <v/>
      </c>
      <c r="J43" s="11">
        <f>SUBTOTAL(9,J35:J42)</f>
        <v/>
      </c>
      <c r="K43" s="12" t="n"/>
    </row>
    <row r="44" ht="20" customHeight="1">
      <c r="A44" s="9" t="inlineStr">
        <is>
          <t>102066</t>
        </is>
      </c>
      <c r="B44" s="10" t="inlineStr">
        <is>
          <t>Lịch sử Đảng Cộng sản Việt Nam</t>
        </is>
      </c>
      <c r="C44" s="9" t="n">
        <v>2</v>
      </c>
      <c r="D44" s="9" t="n">
        <v>2</v>
      </c>
      <c r="E44" s="9" t="n">
        <v>0</v>
      </c>
      <c r="F44" s="9" t="n">
        <v>0</v>
      </c>
      <c r="G44" s="9">
        <f>C44*50</f>
        <v/>
      </c>
      <c r="H44" s="9" t="n">
        <v>30</v>
      </c>
      <c r="I44" s="9" t="n">
        <v>0</v>
      </c>
      <c r="J44" s="9">
        <f>G44-H44-I44</f>
        <v/>
      </c>
      <c r="K44" s="9" t="inlineStr">
        <is>
          <t>Môn cơ bản</t>
        </is>
      </c>
    </row>
    <row r="45" ht="20" customHeight="1">
      <c r="A45" s="9" t="inlineStr">
        <is>
          <t>102150</t>
        </is>
      </c>
      <c r="B45" s="10" t="inlineStr">
        <is>
          <t>Ngoại ngữ 5</t>
        </is>
      </c>
      <c r="C45" s="9" t="n">
        <v>3</v>
      </c>
      <c r="D45" s="9" t="n">
        <v>2</v>
      </c>
      <c r="E45" s="9" t="n">
        <v>1</v>
      </c>
      <c r="F45" s="9" t="n">
        <v>0</v>
      </c>
      <c r="G45" s="9">
        <f>C45*50</f>
        <v/>
      </c>
      <c r="H45" s="9" t="n">
        <v>30</v>
      </c>
      <c r="I45" s="9" t="n">
        <v>30</v>
      </c>
      <c r="J45" s="9">
        <f>G45-H45-I45</f>
        <v/>
      </c>
      <c r="K45" s="9" t="inlineStr">
        <is>
          <t>Môn cơ sở</t>
        </is>
      </c>
    </row>
    <row r="46" ht="20" customHeight="1">
      <c r="A46" s="9" t="inlineStr">
        <is>
          <t>111168</t>
        </is>
      </c>
      <c r="B46" s="10" t="inlineStr">
        <is>
          <t>Quản lý dự án CNTT &amp; Nhập môn kỹ thuật</t>
        </is>
      </c>
      <c r="C46" s="9" t="n">
        <v>3</v>
      </c>
      <c r="D46" s="9" t="n">
        <v>1.5</v>
      </c>
      <c r="E46" s="9" t="n">
        <v>1.5</v>
      </c>
      <c r="F46" s="9" t="n">
        <v>0</v>
      </c>
      <c r="G46" s="9">
        <f>C46*50</f>
        <v/>
      </c>
      <c r="H46" s="9" t="n">
        <v>22</v>
      </c>
      <c r="I46" s="9" t="n">
        <v>45</v>
      </c>
      <c r="J46" s="9">
        <f>G46-H46-I46</f>
        <v/>
      </c>
      <c r="K46" s="9" t="inlineStr">
        <is>
          <t>Môn cơ sở</t>
        </is>
      </c>
    </row>
    <row r="47" ht="20" customHeight="1">
      <c r="A47" s="13" t="inlineStr">
        <is>
          <t>111301</t>
        </is>
      </c>
      <c r="B47" s="14" t="inlineStr">
        <is>
          <t>Lập trình Back-End hiện đại với AI</t>
        </is>
      </c>
      <c r="C47" s="13" t="n">
        <v>3</v>
      </c>
      <c r="D47" s="13" t="n">
        <v>1</v>
      </c>
      <c r="E47" s="13" t="n">
        <v>2</v>
      </c>
      <c r="F47" s="13" t="n">
        <v>0</v>
      </c>
      <c r="G47" s="13">
        <f>C47*50</f>
        <v/>
      </c>
      <c r="H47" s="13" t="n">
        <v>15</v>
      </c>
      <c r="I47" s="13" t="n">
        <v>60</v>
      </c>
      <c r="J47" s="13">
        <f>G47-H47-I47</f>
        <v/>
      </c>
      <c r="K47" s="13" t="inlineStr">
        <is>
          <t>Chuyên ngành - Vibe Coding</t>
        </is>
      </c>
    </row>
    <row r="48" ht="20" customHeight="1">
      <c r="A48" s="15" t="inlineStr">
        <is>
          <t>111401</t>
        </is>
      </c>
      <c r="B48" s="16" t="inlineStr">
        <is>
          <t>CCNA: Chuyển mạch, định tuyến và không dây (SRWE)</t>
        </is>
      </c>
      <c r="C48" s="15" t="n">
        <v>3</v>
      </c>
      <c r="D48" s="15" t="n">
        <v>1.5</v>
      </c>
      <c r="E48" s="15" t="n">
        <v>1.5</v>
      </c>
      <c r="F48" s="15" t="n">
        <v>0</v>
      </c>
      <c r="G48" s="15">
        <f>C48*50</f>
        <v/>
      </c>
      <c r="H48" s="15" t="n">
        <v>22</v>
      </c>
      <c r="I48" s="15" t="n">
        <v>45</v>
      </c>
      <c r="J48" s="15">
        <f>G48-H48-I48</f>
        <v/>
      </c>
      <c r="K48" s="15" t="inlineStr">
        <is>
          <t>Chuyên ngành - Mạng Cisco</t>
        </is>
      </c>
    </row>
    <row r="49" ht="20" customHeight="1">
      <c r="A49" s="17" t="inlineStr">
        <is>
          <t>111501</t>
        </is>
      </c>
      <c r="B49" s="18" t="inlineStr">
        <is>
          <t>Kỹ thuật tiền xử lý và làm sạch dữ liệu với Python</t>
        </is>
      </c>
      <c r="C49" s="17" t="n">
        <v>3</v>
      </c>
      <c r="D49" s="17" t="n">
        <v>1</v>
      </c>
      <c r="E49" s="17" t="n">
        <v>2</v>
      </c>
      <c r="F49" s="17" t="n">
        <v>0</v>
      </c>
      <c r="G49" s="17">
        <f>C49*50</f>
        <v/>
      </c>
      <c r="H49" s="17" t="n">
        <v>15</v>
      </c>
      <c r="I49" s="17" t="n">
        <v>60</v>
      </c>
      <c r="J49" s="17">
        <f>G49-H49-I49</f>
        <v/>
      </c>
      <c r="K49" s="17" t="inlineStr">
        <is>
          <t>Chuyên ngành - Phân tích số liệu</t>
        </is>
      </c>
    </row>
    <row r="50" ht="22" customHeight="1">
      <c r="A50" s="11" t="inlineStr">
        <is>
          <t>TỔNG CỘNG HỌC KỲ 5</t>
        </is>
      </c>
      <c r="B50" s="12" t="n"/>
      <c r="C50" s="11">
        <f>SUBTOTAL(9,C44:C49)</f>
        <v/>
      </c>
      <c r="D50" s="11">
        <f>SUBTOTAL(9,D44:D49)</f>
        <v/>
      </c>
      <c r="E50" s="11">
        <f>SUBTOTAL(9,E44:E49)</f>
        <v/>
      </c>
      <c r="F50" s="11">
        <f>SUBTOTAL(9,F44:F49)</f>
        <v/>
      </c>
      <c r="G50" s="11">
        <f>SUBTOTAL(9,G44:G49)</f>
        <v/>
      </c>
      <c r="H50" s="11">
        <f>SUBTOTAL(9,H44:H49)</f>
        <v/>
      </c>
      <c r="I50" s="11">
        <f>SUBTOTAL(9,I44:I49)</f>
        <v/>
      </c>
      <c r="J50" s="11">
        <f>SUBTOTAL(9,J44:J49)</f>
        <v/>
      </c>
      <c r="K50" s="12" t="n"/>
    </row>
    <row r="51" ht="20" customHeight="1">
      <c r="A51" s="9" t="inlineStr">
        <is>
          <t>102151</t>
        </is>
      </c>
      <c r="B51" s="10" t="inlineStr">
        <is>
          <t>Ngoại ngữ 6</t>
        </is>
      </c>
      <c r="C51" s="9" t="n">
        <v>3</v>
      </c>
      <c r="D51" s="9" t="n">
        <v>2</v>
      </c>
      <c r="E51" s="9" t="n">
        <v>1</v>
      </c>
      <c r="F51" s="9" t="n">
        <v>0</v>
      </c>
      <c r="G51" s="9">
        <f>C51*50</f>
        <v/>
      </c>
      <c r="H51" s="9" t="n">
        <v>30</v>
      </c>
      <c r="I51" s="9" t="n">
        <v>30</v>
      </c>
      <c r="J51" s="9">
        <f>G51-H51-I51</f>
        <v/>
      </c>
      <c r="K51" s="9" t="inlineStr">
        <is>
          <t>Môn cơ sở</t>
        </is>
      </c>
    </row>
    <row r="52" ht="20" customHeight="1">
      <c r="A52" s="9" t="inlineStr">
        <is>
          <t>111201</t>
        </is>
      </c>
      <c r="B52" s="10" t="inlineStr">
        <is>
          <t>An toàn và bảo mật thông tin</t>
        </is>
      </c>
      <c r="C52" s="9" t="n">
        <v>3</v>
      </c>
      <c r="D52" s="9" t="n">
        <v>2</v>
      </c>
      <c r="E52" s="9" t="n">
        <v>1</v>
      </c>
      <c r="F52" s="9" t="n">
        <v>0</v>
      </c>
      <c r="G52" s="9">
        <f>C52*50</f>
        <v/>
      </c>
      <c r="H52" s="9" t="n">
        <v>30</v>
      </c>
      <c r="I52" s="9" t="n">
        <v>30</v>
      </c>
      <c r="J52" s="9">
        <f>G52-H52-I52</f>
        <v/>
      </c>
      <c r="K52" s="9" t="inlineStr">
        <is>
          <t>Môn cơ sở</t>
        </is>
      </c>
    </row>
    <row r="53" ht="20" customHeight="1">
      <c r="A53" s="13" t="inlineStr">
        <is>
          <t>111302</t>
        </is>
      </c>
      <c r="B53" s="14" t="inlineStr">
        <is>
          <t>Phát triển ứng dụng Web Front-End nâng cao &amp; AI UI</t>
        </is>
      </c>
      <c r="C53" s="13" t="n">
        <v>3</v>
      </c>
      <c r="D53" s="13" t="n">
        <v>1</v>
      </c>
      <c r="E53" s="13" t="n">
        <v>2</v>
      </c>
      <c r="F53" s="13" t="n">
        <v>0</v>
      </c>
      <c r="G53" s="13">
        <f>C53*50</f>
        <v/>
      </c>
      <c r="H53" s="13" t="n">
        <v>15</v>
      </c>
      <c r="I53" s="13" t="n">
        <v>60</v>
      </c>
      <c r="J53" s="13">
        <f>G53-H53-I53</f>
        <v/>
      </c>
      <c r="K53" s="13" t="inlineStr">
        <is>
          <t>Chuyên ngành - Vibe Coding</t>
        </is>
      </c>
    </row>
    <row r="54" ht="20" customHeight="1">
      <c r="A54" s="15" t="inlineStr">
        <is>
          <t>111405</t>
        </is>
      </c>
      <c r="B54" s="16" t="inlineStr">
        <is>
          <t>CCNA: Kết nối và tối ưu hóa mạng doanh nghiệp (ENSA)</t>
        </is>
      </c>
      <c r="C54" s="15" t="n">
        <v>3</v>
      </c>
      <c r="D54" s="15" t="n">
        <v>1.5</v>
      </c>
      <c r="E54" s="15" t="n">
        <v>1.5</v>
      </c>
      <c r="F54" s="15" t="n">
        <v>0</v>
      </c>
      <c r="G54" s="15">
        <f>C54*50</f>
        <v/>
      </c>
      <c r="H54" s="15" t="n">
        <v>22</v>
      </c>
      <c r="I54" s="15" t="n">
        <v>45</v>
      </c>
      <c r="J54" s="15">
        <f>G54-H54-I54</f>
        <v/>
      </c>
      <c r="K54" s="15" t="inlineStr">
        <is>
          <t>Chuyên ngành - Mạng Cisco</t>
        </is>
      </c>
    </row>
    <row r="55" ht="20" customHeight="1">
      <c r="A55" s="15" t="inlineStr">
        <is>
          <t>111402</t>
        </is>
      </c>
      <c r="B55" s="16" t="inlineStr">
        <is>
          <t>Quản trị hệ thống Linux và Dịch vụ mạng nguồn mở</t>
        </is>
      </c>
      <c r="C55" s="15" t="n">
        <v>3</v>
      </c>
      <c r="D55" s="15" t="n">
        <v>1.5</v>
      </c>
      <c r="E55" s="15" t="n">
        <v>1.5</v>
      </c>
      <c r="F55" s="15" t="n">
        <v>0</v>
      </c>
      <c r="G55" s="15">
        <f>C55*50</f>
        <v/>
      </c>
      <c r="H55" s="15" t="n">
        <v>22</v>
      </c>
      <c r="I55" s="15" t="n">
        <v>45</v>
      </c>
      <c r="J55" s="15">
        <f>G55-H55-I55</f>
        <v/>
      </c>
      <c r="K55" s="15" t="inlineStr">
        <is>
          <t>Chuyên ngành - Mạng Cisco</t>
        </is>
      </c>
    </row>
    <row r="56" ht="20" customHeight="1">
      <c r="A56" s="17" t="inlineStr">
        <is>
          <t>111502</t>
        </is>
      </c>
      <c r="B56" s="18" t="inlineStr">
        <is>
          <t>Hệ cơ sở dữ liệu nâng cao và Kho dữ liệu</t>
        </is>
      </c>
      <c r="C56" s="17" t="n">
        <v>3</v>
      </c>
      <c r="D56" s="17" t="n">
        <v>1.5</v>
      </c>
      <c r="E56" s="17" t="n">
        <v>1.5</v>
      </c>
      <c r="F56" s="17" t="n">
        <v>0</v>
      </c>
      <c r="G56" s="17">
        <f>C56*50</f>
        <v/>
      </c>
      <c r="H56" s="17" t="n">
        <v>22</v>
      </c>
      <c r="I56" s="17" t="n">
        <v>45</v>
      </c>
      <c r="J56" s="17">
        <f>G56-H56-I56</f>
        <v/>
      </c>
      <c r="K56" s="17" t="inlineStr">
        <is>
          <t>Chuyên ngành - Phân tích số liệu</t>
        </is>
      </c>
    </row>
    <row r="57" ht="22" customHeight="1">
      <c r="A57" s="11" t="inlineStr">
        <is>
          <t>TỔNG CỘNG HỌC KỲ 6</t>
        </is>
      </c>
      <c r="B57" s="12" t="n"/>
      <c r="C57" s="11">
        <f>SUBTOTAL(9,C51:C56)</f>
        <v/>
      </c>
      <c r="D57" s="11">
        <f>SUBTOTAL(9,D51:D56)</f>
        <v/>
      </c>
      <c r="E57" s="11">
        <f>SUBTOTAL(9,E51:E56)</f>
        <v/>
      </c>
      <c r="F57" s="11">
        <f>SUBTOTAL(9,F51:F56)</f>
        <v/>
      </c>
      <c r="G57" s="11">
        <f>SUBTOTAL(9,G51:G56)</f>
        <v/>
      </c>
      <c r="H57" s="11">
        <f>SUBTOTAL(9,H51:H56)</f>
        <v/>
      </c>
      <c r="I57" s="11">
        <f>SUBTOTAL(9,I51:I56)</f>
        <v/>
      </c>
      <c r="J57" s="11">
        <f>SUBTOTAL(9,J51:J56)</f>
        <v/>
      </c>
      <c r="K57" s="12" t="n"/>
    </row>
    <row r="58" ht="20" customHeight="1">
      <c r="A58" s="9" t="inlineStr">
        <is>
          <t>199008</t>
        </is>
      </c>
      <c r="B58" s="10" t="inlineStr">
        <is>
          <t>Khởi nghiệp công nghệ và Đổi mới sáng tạo</t>
        </is>
      </c>
      <c r="C58" s="9" t="n">
        <v>3</v>
      </c>
      <c r="D58" s="9" t="n">
        <v>2</v>
      </c>
      <c r="E58" s="9" t="n">
        <v>1</v>
      </c>
      <c r="F58" s="9" t="n">
        <v>0</v>
      </c>
      <c r="G58" s="9">
        <f>C58*50</f>
        <v/>
      </c>
      <c r="H58" s="9" t="n">
        <v>30</v>
      </c>
      <c r="I58" s="9" t="n">
        <v>30</v>
      </c>
      <c r="J58" s="9">
        <f>G58-H58-I58</f>
        <v/>
      </c>
      <c r="K58" s="9" t="inlineStr">
        <is>
          <t>Môn cơ sở</t>
        </is>
      </c>
    </row>
    <row r="59" ht="20" customHeight="1">
      <c r="A59" s="13" t="inlineStr">
        <is>
          <t>111303</t>
        </is>
      </c>
      <c r="B59" s="14" t="inlineStr">
        <is>
          <t>Công nghệ Vibe Coding &amp; Kỹ nghệ Prompt trong SE</t>
        </is>
      </c>
      <c r="C59" s="13" t="n">
        <v>3</v>
      </c>
      <c r="D59" s="13" t="n">
        <v>1</v>
      </c>
      <c r="E59" s="13" t="n">
        <v>2</v>
      </c>
      <c r="F59" s="13" t="n">
        <v>0</v>
      </c>
      <c r="G59" s="13">
        <f>C59*50</f>
        <v/>
      </c>
      <c r="H59" s="13" t="n">
        <v>15</v>
      </c>
      <c r="I59" s="13" t="n">
        <v>60</v>
      </c>
      <c r="J59" s="13">
        <f>G59-H59-I59</f>
        <v/>
      </c>
      <c r="K59" s="13" t="inlineStr">
        <is>
          <t>Chuyên ngành - Vibe Coding</t>
        </is>
      </c>
    </row>
    <row r="60" ht="20" customHeight="1">
      <c r="A60" s="13" t="inlineStr">
        <is>
          <t>111305</t>
        </is>
      </c>
      <c r="B60" s="14" t="inlineStr">
        <is>
          <t>Phát triển ứng dụng Di động đa nền tảng với AI</t>
        </is>
      </c>
      <c r="C60" s="13" t="n">
        <v>3</v>
      </c>
      <c r="D60" s="13" t="n">
        <v>1</v>
      </c>
      <c r="E60" s="13" t="n">
        <v>2</v>
      </c>
      <c r="F60" s="13" t="n">
        <v>0</v>
      </c>
      <c r="G60" s="13">
        <f>C60*50</f>
        <v/>
      </c>
      <c r="H60" s="13" t="n">
        <v>15</v>
      </c>
      <c r="I60" s="13" t="n">
        <v>60</v>
      </c>
      <c r="J60" s="13">
        <f>G60-H60-I60</f>
        <v/>
      </c>
      <c r="K60" s="13" t="inlineStr">
        <is>
          <t>Chuyên ngành - Vibe Coding</t>
        </is>
      </c>
    </row>
    <row r="61" ht="20" customHeight="1">
      <c r="A61" s="15" t="inlineStr">
        <is>
          <t>111406</t>
        </is>
      </c>
      <c r="B61" s="16" t="inlineStr">
        <is>
          <t>Vận hành an ninh mạng Cisco CyberOps &amp; DevNet</t>
        </is>
      </c>
      <c r="C61" s="15" t="n">
        <v>3</v>
      </c>
      <c r="D61" s="15" t="n">
        <v>1.5</v>
      </c>
      <c r="E61" s="15" t="n">
        <v>1.5</v>
      </c>
      <c r="F61" s="15" t="n">
        <v>0</v>
      </c>
      <c r="G61" s="15">
        <f>C61*50</f>
        <v/>
      </c>
      <c r="H61" s="15" t="n">
        <v>22</v>
      </c>
      <c r="I61" s="15" t="n">
        <v>45</v>
      </c>
      <c r="J61" s="15">
        <f>G61-H61-I61</f>
        <v/>
      </c>
      <c r="K61" s="15" t="inlineStr">
        <is>
          <t>Chuyên ngành - Mạng Cisco</t>
        </is>
      </c>
    </row>
    <row r="62" ht="20" customHeight="1">
      <c r="A62" s="17" t="inlineStr">
        <is>
          <t>111503</t>
        </is>
      </c>
      <c r="B62" s="18" t="inlineStr">
        <is>
          <t>Phân tích kinh doanh và Trực quan hóa với Power BI</t>
        </is>
      </c>
      <c r="C62" s="17" t="n">
        <v>3</v>
      </c>
      <c r="D62" s="17" t="n">
        <v>1.5</v>
      </c>
      <c r="E62" s="17" t="n">
        <v>1.5</v>
      </c>
      <c r="F62" s="17" t="n">
        <v>0</v>
      </c>
      <c r="G62" s="17">
        <f>C62*50</f>
        <v/>
      </c>
      <c r="H62" s="17" t="n">
        <v>22</v>
      </c>
      <c r="I62" s="17" t="n">
        <v>45</v>
      </c>
      <c r="J62" s="17">
        <f>G62-H62-I62</f>
        <v/>
      </c>
      <c r="K62" s="17" t="inlineStr">
        <is>
          <t>Chuyên ngành - Phân tích số liệu</t>
        </is>
      </c>
    </row>
    <row r="63" ht="20" customHeight="1">
      <c r="A63" s="17" t="inlineStr">
        <is>
          <t>111505</t>
        </is>
      </c>
      <c r="B63" s="18" t="inlineStr">
        <is>
          <t>Khai phá dữ liệu &amp; Ứng dụng GenAI trong Phân tích</t>
        </is>
      </c>
      <c r="C63" s="17" t="n">
        <v>2</v>
      </c>
      <c r="D63" s="17" t="n">
        <v>1</v>
      </c>
      <c r="E63" s="17" t="n">
        <v>1</v>
      </c>
      <c r="F63" s="17" t="n">
        <v>0</v>
      </c>
      <c r="G63" s="17">
        <f>C63*50</f>
        <v/>
      </c>
      <c r="H63" s="17" t="n">
        <v>15</v>
      </c>
      <c r="I63" s="17" t="n">
        <v>30</v>
      </c>
      <c r="J63" s="17">
        <f>G63-H63-I63</f>
        <v/>
      </c>
      <c r="K63" s="17" t="inlineStr">
        <is>
          <t>Chuyên ngành - Phân tích số liệu</t>
        </is>
      </c>
    </row>
    <row r="64" ht="22" customHeight="1">
      <c r="A64" s="11" t="inlineStr">
        <is>
          <t>TỔNG CỘNG HỌC KỲ 7</t>
        </is>
      </c>
      <c r="B64" s="12" t="n"/>
      <c r="C64" s="11">
        <f>SUBTOTAL(9,C58:C63)</f>
        <v/>
      </c>
      <c r="D64" s="11">
        <f>SUBTOTAL(9,D58:D63)</f>
        <v/>
      </c>
      <c r="E64" s="11">
        <f>SUBTOTAL(9,E58:E63)</f>
        <v/>
      </c>
      <c r="F64" s="11">
        <f>SUBTOTAL(9,F58:F63)</f>
        <v/>
      </c>
      <c r="G64" s="11">
        <f>SUBTOTAL(9,G58:G63)</f>
        <v/>
      </c>
      <c r="H64" s="11">
        <f>SUBTOTAL(9,H58:H63)</f>
        <v/>
      </c>
      <c r="I64" s="11">
        <f>SUBTOTAL(9,I58:I63)</f>
        <v/>
      </c>
      <c r="J64" s="11">
        <f>SUBTOTAL(9,J58:J63)</f>
        <v/>
      </c>
      <c r="K64" s="12" t="n"/>
    </row>
    <row r="65" ht="20" customHeight="1">
      <c r="A65" s="9" t="inlineStr">
        <is>
          <t>111192</t>
        </is>
      </c>
      <c r="B65" s="10" t="inlineStr">
        <is>
          <t>Thực tập tốt nghiệp từ xa / Dự án doanh nghiệp</t>
        </is>
      </c>
      <c r="C65" s="9" t="n">
        <v>6</v>
      </c>
      <c r="D65" s="9" t="n">
        <v>0</v>
      </c>
      <c r="E65" s="9" t="n">
        <v>6</v>
      </c>
      <c r="F65" s="9" t="n">
        <v>0</v>
      </c>
      <c r="G65" s="9">
        <f>C65*50</f>
        <v/>
      </c>
      <c r="H65" s="9" t="n">
        <v>0</v>
      </c>
      <c r="I65" s="9" t="n">
        <v>300</v>
      </c>
      <c r="J65" s="9">
        <f>G65-H65-I65</f>
        <v/>
      </c>
      <c r="K65" s="9" t="inlineStr">
        <is>
          <t>Thực tập</t>
        </is>
      </c>
    </row>
    <row r="66" ht="20" customHeight="1">
      <c r="A66" s="9" t="inlineStr">
        <is>
          <t>111193</t>
        </is>
      </c>
      <c r="B66" s="10" t="inlineStr">
        <is>
          <t>Khóa luận tốt nghiệp / Đồ án tốt nghiệp tích hợp</t>
        </is>
      </c>
      <c r="C66" s="9" t="n">
        <v>8</v>
      </c>
      <c r="D66" s="9" t="n">
        <v>0</v>
      </c>
      <c r="E66" s="9" t="n">
        <v>8</v>
      </c>
      <c r="F66" s="9" t="n">
        <v>0</v>
      </c>
      <c r="G66" s="9">
        <f>C66*50</f>
        <v/>
      </c>
      <c r="H66" s="9" t="n">
        <v>0</v>
      </c>
      <c r="I66" s="9" t="n">
        <v>400</v>
      </c>
      <c r="J66" s="9">
        <f>G66-H66-I66</f>
        <v/>
      </c>
      <c r="K66" s="9" t="inlineStr">
        <is>
          <t>Tốt nghiệp</t>
        </is>
      </c>
    </row>
    <row r="67" ht="22" customHeight="1">
      <c r="A67" s="11" t="inlineStr">
        <is>
          <t>TỔNG CỘNG HỌC KỲ 8</t>
        </is>
      </c>
      <c r="B67" s="12" t="n"/>
      <c r="C67" s="11">
        <f>SUBTOTAL(9,C65:C66)</f>
        <v/>
      </c>
      <c r="D67" s="11">
        <f>SUBTOTAL(9,D65:D66)</f>
        <v/>
      </c>
      <c r="E67" s="11">
        <f>SUBTOTAL(9,E65:E66)</f>
        <v/>
      </c>
      <c r="F67" s="11">
        <f>SUBTOTAL(9,F65:F66)</f>
        <v/>
      </c>
      <c r="G67" s="11">
        <f>SUBTOTAL(9,G65:G66)</f>
        <v/>
      </c>
      <c r="H67" s="11">
        <f>SUBTOTAL(9,H65:H66)</f>
        <v/>
      </c>
      <c r="I67" s="11">
        <f>SUBTOTAL(9,I65:I66)</f>
        <v/>
      </c>
      <c r="J67" s="11">
        <f>SUBTOTAL(9,J65:J66)</f>
        <v/>
      </c>
      <c r="K67" s="12" t="n"/>
    </row>
    <row r="68" ht="25" customHeight="1">
      <c r="A68" s="19" t="inlineStr">
        <is>
          <t>TỔNG CỘNG TOÀN KHÓA</t>
        </is>
      </c>
      <c r="B68" s="20" t="n"/>
      <c r="C68" s="21">
        <f>SUM(C16,C24,C34,C43,C50,C57,C64,C67)</f>
        <v/>
      </c>
      <c r="D68" s="22">
        <f>SUM(D16,D24,D34,D43,D50,D57,D64,D67)</f>
        <v/>
      </c>
      <c r="E68" s="22">
        <f>SUM(E16,E24,E34,E43,E50,E57,E64,E67)</f>
        <v/>
      </c>
      <c r="F68" s="22">
        <f>SUM(F16,F24,F34,F43,F50,F57,F64,F67)</f>
        <v/>
      </c>
      <c r="G68" s="22">
        <f>SUM(G16,G24,G34,G43,G50,G57,G64,G67)</f>
        <v/>
      </c>
      <c r="H68" s="22">
        <f>SUM(H16,H24,H34,H43,H50,H57,H64,H67)</f>
        <v/>
      </c>
      <c r="I68" s="22">
        <f>SUM(I16,I24,I34,I43,I50,I57,I64,I67)</f>
        <v/>
      </c>
      <c r="J68" s="22">
        <f>SUM(J16,J24,J34,J43,J50,J57,J64,J67)</f>
        <v/>
      </c>
      <c r="K68" s="20" t="n"/>
    </row>
    <row r="71">
      <c r="A71" s="23" t="inlineStr">
        <is>
          <t>Nơi nhận:</t>
        </is>
      </c>
      <c r="H71" s="24" t="inlineStr">
        <is>
          <t>TRƯỞNG KHOA</t>
        </is>
      </c>
    </row>
    <row r="72">
      <c r="A72" s="25" t="inlineStr">
        <is>
          <t>- Ban Giám hiệu (để báo cáo);</t>
        </is>
      </c>
    </row>
    <row r="73">
      <c r="A73" s="25" t="inlineStr">
        <is>
          <t>- Trung tâm Đào tạo Từ xa &amp; E-learning;</t>
        </is>
      </c>
    </row>
    <row r="74">
      <c r="A74" s="25" t="inlineStr">
        <is>
          <t>- Phòng Đào tạo;</t>
        </is>
      </c>
    </row>
    <row r="75">
      <c r="A75" s="25" t="inlineStr">
        <is>
          <t>- Lưu: VT, K.CNTT.</t>
        </is>
      </c>
    </row>
  </sheetData>
  <mergeCells count="17">
    <mergeCell ref="A24:B24"/>
    <mergeCell ref="A16:B16"/>
    <mergeCell ref="A64:B64"/>
    <mergeCell ref="A43:B43"/>
    <mergeCell ref="A57:B57"/>
    <mergeCell ref="A68:B68"/>
    <mergeCell ref="A7:A8"/>
    <mergeCell ref="C7:F7"/>
    <mergeCell ref="B7:B8"/>
    <mergeCell ref="G7:G8"/>
    <mergeCell ref="H7:H8"/>
    <mergeCell ref="I7:I8"/>
    <mergeCell ref="K7:K8"/>
    <mergeCell ref="J7:J8"/>
    <mergeCell ref="A67:B67"/>
    <mergeCell ref="A34:B34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2026-09-14T09:39:55Z</dcterms:created>
  <dcterms:modified xmlns:dcterms="http://purl.org/dc/terms/" xmlns:xsi="http://www.w3.org/2001/XMLSchema-instance" xsi:type="dcterms:W3CDTF">2026-09-14T09:39:55Z</dcterms:modified>
</cp:coreProperties>
</file>