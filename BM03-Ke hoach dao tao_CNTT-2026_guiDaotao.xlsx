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DT_2026" sheetId="1" r:id="rId5"/>
    <sheet state="visible" name="Copy of CTDT_2026" sheetId="2" r:id="rId6"/>
    <sheet state="hidden" name="Sheet4" sheetId="3" r:id="rId7"/>
  </sheets>
  <definedNames/>
  <calcPr/>
</workbook>
</file>

<file path=xl/sharedStrings.xml><?xml version="1.0" encoding="utf-8"?>
<sst xmlns="http://schemas.openxmlformats.org/spreadsheetml/2006/main" count="312" uniqueCount="112">
  <si>
    <t>Học kỳ</t>
  </si>
  <si>
    <t>`</t>
  </si>
  <si>
    <t>Loại môn</t>
  </si>
  <si>
    <t>Mã môn</t>
  </si>
  <si>
    <t>Tên môn học</t>
  </si>
  <si>
    <t>Tổng TC (LT-TH-BT)</t>
  </si>
  <si>
    <t>CỘNG HÒA XÃ HỘI CHỦ NGHĨA VIỆT NAM</t>
  </si>
  <si>
    <t>CS Ngành</t>
  </si>
  <si>
    <t>Nhập môn lập trình</t>
  </si>
  <si>
    <t>3 (1-2-0)</t>
  </si>
  <si>
    <t>Kỹ Thuật lập trình</t>
  </si>
  <si>
    <t>KHOA CÔNG NGHỆ THÔNG TIN</t>
  </si>
  <si>
    <t>Độc lập - Tự do - Hạnh phúc</t>
  </si>
  <si>
    <t>Cấu trúc dữ liệu và giải thuật</t>
  </si>
  <si>
    <t>Lập trình hướng đối tượng</t>
  </si>
  <si>
    <t>Đồng Nai, ngày 20 tháng 4 năm 2026</t>
  </si>
  <si>
    <t>CHƯƠNG TRÌNH ĐÀO TẠO THEO HỌC CHẾ TÍN CHỈ NIÊN KHÓA 2026 - 2030</t>
  </si>
  <si>
    <t>Thiết kế web</t>
  </si>
  <si>
    <t>Chuyên ngành</t>
  </si>
  <si>
    <t>Lập trình Front-End</t>
  </si>
  <si>
    <t>CHUYÊN NGÀNH: CÔNG NGHỆ THÔNG TIN</t>
  </si>
  <si>
    <t>Lập trình Back-End</t>
  </si>
  <si>
    <t>Lập trình ứng dụng di động</t>
  </si>
  <si>
    <t>Lập trình ứng dụng web</t>
  </si>
  <si>
    <t>Mã MH</t>
  </si>
  <si>
    <t>Điện tử trong IoT</t>
  </si>
  <si>
    <t>Môn học</t>
  </si>
  <si>
    <t>3 (1-2-1)</t>
  </si>
  <si>
    <t>Số tín chỉ</t>
  </si>
  <si>
    <t>Lập trình giao tiếp thiết bị</t>
  </si>
  <si>
    <t>Nhập môn Phát triển dự án kỹ thuật</t>
  </si>
  <si>
    <t>Software Integration and Engineering</t>
  </si>
  <si>
    <t>Tổng TC</t>
  </si>
  <si>
    <t>Số tiết tổng</t>
  </si>
  <si>
    <t>Mạng máy tính</t>
  </si>
  <si>
    <t>Lý thuyết</t>
  </si>
  <si>
    <t>Thực hành</t>
  </si>
  <si>
    <t>Bài tập</t>
  </si>
  <si>
    <t>Mạng máy tính nâng cao</t>
  </si>
  <si>
    <t>Số tiết LT lên lớp</t>
  </si>
  <si>
    <t>Dịch vụ mạng</t>
  </si>
  <si>
    <t>Số tiết TH lên lớp</t>
  </si>
  <si>
    <t>Số tiết BT / Tự học</t>
  </si>
  <si>
    <t>Giáo dục quốc phòng</t>
  </si>
  <si>
    <t>Thiết kế hệ thống mạng</t>
  </si>
  <si>
    <t>Ghi chú</t>
  </si>
  <si>
    <t>Quản trị website trên VPS</t>
  </si>
  <si>
    <t>Cơ sở dữ liệu</t>
  </si>
  <si>
    <t>Hệ quản trị CSDL</t>
  </si>
  <si>
    <t>Giáo dục thể chất 1</t>
  </si>
  <si>
    <t>Phân tích dữ liệu thông minh</t>
  </si>
  <si>
    <t>Kỹ thuật xử lý dữ liệu với Python</t>
  </si>
  <si>
    <t>Trực quan hóa và kể chuyển với dữ liệu</t>
  </si>
  <si>
    <t>AI tạo sinh và Đại lý tự hành</t>
  </si>
  <si>
    <t>Toán cao cấp 1 {CNTT}</t>
  </si>
  <si>
    <t>3 (2-0-1)</t>
  </si>
  <si>
    <t>Ngoại ngữ 1</t>
  </si>
  <si>
    <t>Nhập môn Ngành</t>
  </si>
  <si>
    <t>Môn cơ bản</t>
  </si>
  <si>
    <t>Lắp ráp và tối ưu hệ thống máy tính</t>
  </si>
  <si>
    <t>Phần mềm mã nguồn mở</t>
  </si>
  <si>
    <t>Vật lý thực hành</t>
  </si>
  <si>
    <t>TỔNG CỘNG HỌC KỲ 1</t>
  </si>
  <si>
    <t>Giáo dục thể chất 2</t>
  </si>
  <si>
    <t>Xác suất thống kê</t>
  </si>
  <si>
    <t>Ngoại ngữ 2</t>
  </si>
  <si>
    <t>Tin học đại cương  {2025 trở về sau}</t>
  </si>
  <si>
    <t>Toán rời rạc và LTDT</t>
  </si>
  <si>
    <t>Thiết kế UI/UX</t>
  </si>
  <si>
    <t>TỔNG CỘNG HỌC KỲ 2</t>
  </si>
  <si>
    <t>Giáo dục thể chất 3</t>
  </si>
  <si>
    <t>Triết học Mác - Lênin</t>
  </si>
  <si>
    <t>Kinh tế chính trị Mác - Lênin</t>
  </si>
  <si>
    <t>Chủ nghĩa xã hội khoa học</t>
  </si>
  <si>
    <t>Ngoại ngữ 3</t>
  </si>
  <si>
    <t>Tín hiệu số cơ bản</t>
  </si>
  <si>
    <t>TỔNG CỘNG HỌC KỲ 3</t>
  </si>
  <si>
    <t>Tư tưởng Hồ Chí Minh</t>
  </si>
  <si>
    <t>Pháp luật đại cương</t>
  </si>
  <si>
    <t>Ngoại ngữ 4</t>
  </si>
  <si>
    <t>Kiến tập</t>
  </si>
  <si>
    <t>TỔNG CỘNG HỌC KỲ 4</t>
  </si>
  <si>
    <t>Lịch sử Đảng Cộng sản Việt Nam</t>
  </si>
  <si>
    <t>Ngoại ngữ 5</t>
  </si>
  <si>
    <t>Môn tự chọn (Chọn 1 trong 2 môn)</t>
  </si>
  <si>
    <t>Phân tích và thiết kế hệ thống thông tin</t>
  </si>
  <si>
    <t>Phân tích thiết kế hệ thống hướng quan hệ</t>
  </si>
  <si>
    <t>TỔNG CỘNG HỌC KỲ 5</t>
  </si>
  <si>
    <t>Ngoại ngữ 6</t>
  </si>
  <si>
    <t>Phân tích dữ liệu văn bản</t>
  </si>
  <si>
    <t>Lập trình Python trong thị giác máy tính</t>
  </si>
  <si>
    <t>TỔNG CỘNG HỌC KỲ 6</t>
  </si>
  <si>
    <t>Software Verification, Validation, and Testing</t>
  </si>
  <si>
    <t>Software Project, Process and Quality Management</t>
  </si>
  <si>
    <t>Trực quan hóa và kể chuyện với dữ liệu</t>
  </si>
  <si>
    <t>Phát triển ứng dụng</t>
  </si>
  <si>
    <t>Technology Entrepreneurship</t>
  </si>
  <si>
    <t>Generative AI &amp; AI Agents</t>
  </si>
  <si>
    <t>TỔNG CỘNG HỌC KỲ 7</t>
  </si>
  <si>
    <t>Thực tập</t>
  </si>
  <si>
    <t>Tốt nghiệp</t>
  </si>
  <si>
    <t>TỔNG CỘNG HỌC KỲ 8</t>
  </si>
  <si>
    <t>TỔNG CỘNG TOÀN KHÓA</t>
  </si>
  <si>
    <t xml:space="preserve">Nơi nhận: </t>
  </si>
  <si>
    <t>TRƯỞNG KHOA</t>
  </si>
  <si>
    <t>- Ban Giám hiệu;</t>
  </si>
  <si>
    <t>- Phòng Đào tạo;</t>
  </si>
  <si>
    <t>- Lưu: VT, K.CNTT (309)</t>
  </si>
  <si>
    <t>Văn Đình Vỹ Phương</t>
  </si>
  <si>
    <t>Môn mới</t>
  </si>
  <si>
    <t xml:space="preserve">Phát triển ứng dụng </t>
  </si>
  <si>
    <t xml:space="preserve"> Generative AI &amp; AI Agents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</si>
</sst>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0.0"/>
      <color rgb="FF1F1F1F"/>
      <name val="Google Sans"/>
    </font>
    <font>
      <sz val="13.0"/>
      <color theme="1"/>
      <name val="Times New Roman"/>
    </font>
    <font>
      <b/>
      <sz val="13.0"/>
      <color theme="1"/>
      <name val="Times New Roman"/>
    </font>
    <font>
      <sz val="10.0"/>
      <color rgb="FF000000"/>
      <name val="Arial"/>
    </font>
    <font>
      <sz val="10.0"/>
      <color theme="1"/>
      <name val="Arial"/>
    </font>
    <font>
      <b/>
      <sz val="14.0"/>
      <color theme="1"/>
      <name val="Times New Roman"/>
    </font>
    <font>
      <i/>
      <sz val="13.0"/>
      <color theme="1"/>
      <name val="Times New Roman"/>
    </font>
    <font>
      <b/>
      <sz val="11.0"/>
      <color theme="1"/>
      <name val="Times New Roman"/>
    </font>
    <font/>
    <font>
      <sz val="12.0"/>
      <color theme="1"/>
      <name val="Times New Roman"/>
    </font>
    <font>
      <sz val="9.0"/>
      <color theme="1"/>
      <name val="Times New Roman"/>
    </font>
    <font>
      <sz val="13.0"/>
      <color rgb="FF000000"/>
      <name val="Times New Roman"/>
    </font>
    <font>
      <sz val="11.0"/>
      <color theme="1"/>
      <name val="Times New Roman"/>
    </font>
    <font>
      <sz val="13.0"/>
      <color rgb="FFFF0000"/>
      <name val="Times New Roman"/>
    </font>
    <font>
      <sz val="13.0"/>
      <color rgb="FFFF00FF"/>
      <name val="Times New Roman"/>
    </font>
    <font>
      <sz val="13.0"/>
      <color theme="1"/>
      <name val="Cambria"/>
    </font>
    <font>
      <sz val="12.0"/>
      <color theme="1"/>
      <name val="Calibri"/>
    </font>
    <font>
      <b/>
      <i/>
      <sz val="12.0"/>
      <color theme="1"/>
      <name val="Times New Roman"/>
    </font>
    <font>
      <sz val="10.0"/>
      <color rgb="FFFF00FF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right"/>
    </xf>
    <xf borderId="1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3" fillId="0" fontId="9" numFmtId="0" xfId="0" applyBorder="1" applyFont="1"/>
    <xf borderId="4" fillId="0" fontId="9" numFmtId="0" xfId="0" applyBorder="1" applyFont="1"/>
    <xf borderId="5" fillId="0" fontId="8" numFmtId="0" xfId="0" applyAlignment="1" applyBorder="1" applyFont="1">
      <alignment horizontal="center" shrinkToFit="0" vertical="center" wrapText="1"/>
    </xf>
    <xf borderId="6" fillId="0" fontId="9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5" fillId="0" fontId="2" numFmtId="1" xfId="0" applyAlignment="1" applyBorder="1" applyFont="1" applyNumberFormat="1">
      <alignment horizontal="center" vertical="center"/>
    </xf>
    <xf borderId="5" fillId="0" fontId="2" numFmtId="1" xfId="0" applyAlignment="1" applyBorder="1" applyFont="1" applyNumberFormat="1">
      <alignment vertical="center"/>
    </xf>
    <xf borderId="5" fillId="0" fontId="2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right" vertical="center"/>
    </xf>
    <xf borderId="5" fillId="0" fontId="10" numFmtId="1" xfId="0" applyAlignment="1" applyBorder="1" applyFont="1" applyNumberFormat="1">
      <alignment horizontal="left" shrinkToFit="0" vertical="center" wrapText="1"/>
    </xf>
    <xf borderId="5" fillId="0" fontId="3" numFmtId="0" xfId="0" applyAlignment="1" applyBorder="1" applyFont="1">
      <alignment horizontal="center" vertical="center"/>
    </xf>
    <xf borderId="5" fillId="0" fontId="11" numFmtId="0" xfId="0" applyAlignment="1" applyBorder="1" applyFont="1">
      <alignment vertical="center"/>
    </xf>
    <xf borderId="5" fillId="0" fontId="12" numFmtId="1" xfId="0" applyAlignment="1" applyBorder="1" applyFont="1" applyNumberFormat="1">
      <alignment vertical="center"/>
    </xf>
    <xf borderId="2" fillId="0" fontId="3" numFmtId="1" xfId="0" applyAlignment="1" applyBorder="1" applyFont="1" applyNumberFormat="1">
      <alignment vertical="center"/>
    </xf>
    <xf borderId="5" fillId="0" fontId="10" numFmtId="1" xfId="0" applyAlignment="1" applyBorder="1" applyFont="1" applyNumberFormat="1">
      <alignment vertical="center"/>
    </xf>
    <xf borderId="5" fillId="0" fontId="5" numFmtId="1" xfId="0" applyAlignment="1" applyBorder="1" applyFont="1" applyNumberFormat="1">
      <alignment vertical="center"/>
    </xf>
    <xf borderId="5" fillId="0" fontId="13" numFmtId="0" xfId="0" applyAlignment="1" applyBorder="1" applyFont="1">
      <alignment vertical="center"/>
    </xf>
    <xf borderId="5" fillId="0" fontId="5" numFmtId="1" xfId="0" applyAlignment="1" applyBorder="1" applyFont="1" applyNumberFormat="1">
      <alignment horizontal="right" vertical="center"/>
    </xf>
    <xf borderId="5" fillId="0" fontId="14" numFmtId="0" xfId="0" applyAlignment="1" applyBorder="1" applyFont="1">
      <alignment horizontal="center" vertical="center"/>
    </xf>
    <xf borderId="5" fillId="0" fontId="15" numFmtId="1" xfId="0" applyAlignment="1" applyBorder="1" applyFont="1" applyNumberFormat="1">
      <alignment horizontal="center" shrinkToFit="1" vertical="center" wrapText="0"/>
    </xf>
    <xf borderId="5" fillId="0" fontId="15" numFmtId="1" xfId="0" applyAlignment="1" applyBorder="1" applyFont="1" applyNumberFormat="1">
      <alignment vertical="center"/>
    </xf>
    <xf borderId="1" fillId="0" fontId="2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5" fillId="0" fontId="15" numFmtId="0" xfId="0" applyAlignment="1" applyBorder="1" applyFont="1">
      <alignment horizontal="center" vertical="center"/>
    </xf>
    <xf borderId="5" fillId="0" fontId="16" numFmtId="0" xfId="0" applyAlignment="1" applyBorder="1" applyFont="1">
      <alignment horizontal="center" vertical="center"/>
    </xf>
    <xf borderId="5" fillId="0" fontId="16" numFmtId="0" xfId="0" applyAlignment="1" applyBorder="1" applyFont="1">
      <alignment shrinkToFit="0" vertical="center" wrapText="1"/>
    </xf>
    <xf borderId="5" fillId="0" fontId="15" numFmtId="0" xfId="0" applyAlignment="1" applyBorder="1" applyFont="1">
      <alignment readingOrder="0" vertical="center"/>
    </xf>
    <xf borderId="5" fillId="0" fontId="2" numFmtId="1" xfId="0" applyAlignment="1" applyBorder="1" applyFont="1" applyNumberForma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vertical="center"/>
    </xf>
    <xf borderId="5" fillId="0" fontId="16" numFmtId="0" xfId="0" applyAlignment="1" applyBorder="1" applyFont="1">
      <alignment horizontal="center" shrinkToFit="0" vertical="center" wrapText="1"/>
    </xf>
    <xf borderId="7" fillId="0" fontId="9" numFmtId="0" xfId="0" applyBorder="1" applyFont="1"/>
    <xf borderId="5" fillId="0" fontId="17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18" numFmtId="0" xfId="0" applyFont="1"/>
    <xf borderId="0" fillId="0" fontId="3" numFmtId="0" xfId="0" applyAlignment="1" applyFont="1">
      <alignment horizontal="center" vertical="top"/>
    </xf>
    <xf quotePrefix="1" borderId="0" fillId="0" fontId="13" numFmtId="0" xfId="0" applyFont="1"/>
    <xf borderId="0" fillId="0" fontId="5" numFmtId="10" xfId="0" applyFont="1" applyNumberFormat="1"/>
    <xf borderId="5" fillId="0" fontId="5" numFmtId="0" xfId="0" applyAlignment="1" applyBorder="1" applyFont="1">
      <alignment readingOrder="0" vertical="center"/>
    </xf>
    <xf borderId="5" fillId="0" fontId="13" numFmtId="0" xfId="0" applyAlignment="1" applyBorder="1" applyFont="1">
      <alignment readingOrder="0" vertical="center"/>
    </xf>
    <xf borderId="1" fillId="0" fontId="19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right" vertical="center"/>
    </xf>
    <xf borderId="1" fillId="0" fontId="11" numFmtId="0" xfId="0" applyAlignment="1" applyBorder="1" applyFont="1">
      <alignment vertical="center"/>
    </xf>
    <xf borderId="5" fillId="0" fontId="19" numFmtId="0" xfId="0" applyAlignment="1" applyBorder="1" applyFont="1">
      <alignment horizontal="right" vertical="center"/>
    </xf>
    <xf borderId="5" fillId="0" fontId="16" numFmtId="0" xfId="0" applyAlignment="1" applyBorder="1" applyFont="1">
      <alignment horizontal="center" readingOrder="0" vertical="center"/>
    </xf>
    <xf borderId="5" fillId="0" fontId="16" numFmtId="0" xfId="0" applyAlignment="1" applyBorder="1" applyFont="1">
      <alignment readingOrder="0" shrinkToFit="0" vertical="center" wrapText="1"/>
    </xf>
    <xf borderId="5" fillId="0" fontId="2" numFmtId="1" xfId="0" applyAlignment="1" applyBorder="1" applyFont="1" applyNumberFormat="1">
      <alignment readingOrder="0" vertical="center"/>
    </xf>
    <xf borderId="5" fillId="0" fontId="16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vertical="center"/>
    </xf>
    <xf borderId="5" fillId="0" fontId="15" numFmtId="0" xfId="0" applyAlignment="1" applyBorder="1" applyFont="1">
      <alignment horizontal="center" readingOrder="0" vertical="center"/>
    </xf>
    <xf borderId="5" fillId="0" fontId="15" numFmtId="1" xfId="0" applyAlignment="1" applyBorder="1" applyFont="1" applyNumberFormat="1">
      <alignment readingOrder="0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38"/>
    <col customWidth="1" min="3" max="10" width="7.38"/>
    <col customWidth="1" min="11" max="15" width="12.63"/>
  </cols>
  <sheetData>
    <row r="1" ht="15.75" customHeight="1">
      <c r="A1" s="2" t="s">
        <v>1</v>
      </c>
      <c r="C1" s="3" t="s">
        <v>6</v>
      </c>
      <c r="K1" s="5"/>
      <c r="L1" s="4"/>
      <c r="M1" s="4"/>
      <c r="N1" s="4"/>
      <c r="O1" s="4"/>
      <c r="P1" s="4"/>
    </row>
    <row r="2" ht="15.75" customHeight="1">
      <c r="A2" s="3" t="s">
        <v>11</v>
      </c>
      <c r="C2" s="6" t="s">
        <v>12</v>
      </c>
      <c r="K2" s="5"/>
      <c r="L2" s="4"/>
      <c r="M2" s="4"/>
      <c r="N2" s="4"/>
      <c r="O2" s="4"/>
      <c r="P2" s="4"/>
    </row>
    <row r="3" ht="15.75" customHeight="1">
      <c r="A3" s="5"/>
      <c r="B3" s="5"/>
      <c r="C3" s="7" t="s">
        <v>15</v>
      </c>
      <c r="K3" s="5"/>
      <c r="L3" s="4"/>
      <c r="M3" s="4"/>
      <c r="N3" s="4"/>
      <c r="O3" s="4"/>
      <c r="P3" s="4"/>
    </row>
    <row r="4" ht="15.75" customHeight="1">
      <c r="A4" s="6" t="s">
        <v>16</v>
      </c>
      <c r="K4" s="5"/>
      <c r="L4" s="4"/>
      <c r="M4" s="4"/>
      <c r="N4" s="4"/>
      <c r="O4" s="4"/>
      <c r="P4" s="4"/>
    </row>
    <row r="5" ht="15.75" customHeight="1">
      <c r="A5" s="6" t="s">
        <v>20</v>
      </c>
      <c r="K5" s="5"/>
      <c r="L5" s="4"/>
      <c r="M5" s="4"/>
      <c r="N5" s="4"/>
      <c r="O5" s="4"/>
      <c r="P5" s="4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4"/>
      <c r="M6" s="4"/>
      <c r="N6" s="4"/>
      <c r="O6" s="4"/>
      <c r="P6" s="4"/>
    </row>
    <row r="7" ht="15.75" customHeight="1">
      <c r="A7" s="8" t="s">
        <v>24</v>
      </c>
      <c r="B7" s="8" t="s">
        <v>26</v>
      </c>
      <c r="C7" s="9" t="s">
        <v>28</v>
      </c>
      <c r="D7" s="10"/>
      <c r="E7" s="10"/>
      <c r="F7" s="11"/>
      <c r="G7" s="14" t="s">
        <v>33</v>
      </c>
      <c r="H7" s="14" t="s">
        <v>39</v>
      </c>
      <c r="I7" s="14" t="s">
        <v>41</v>
      </c>
      <c r="J7" s="14" t="s">
        <v>42</v>
      </c>
      <c r="K7" s="8" t="s">
        <v>45</v>
      </c>
      <c r="L7" s="4"/>
      <c r="M7" s="4"/>
      <c r="N7" s="4"/>
      <c r="O7" s="4"/>
      <c r="P7" s="4"/>
    </row>
    <row r="8" ht="57.0" customHeight="1">
      <c r="A8" s="13"/>
      <c r="B8" s="13"/>
      <c r="C8" s="12" t="s">
        <v>32</v>
      </c>
      <c r="D8" s="12" t="s">
        <v>35</v>
      </c>
      <c r="E8" s="12" t="s">
        <v>36</v>
      </c>
      <c r="F8" s="12" t="s">
        <v>37</v>
      </c>
      <c r="G8" s="13"/>
      <c r="H8" s="13"/>
      <c r="I8" s="13"/>
      <c r="J8" s="13"/>
      <c r="K8" s="13"/>
      <c r="L8" s="4"/>
      <c r="M8" s="4"/>
      <c r="N8" s="4"/>
      <c r="O8" s="4"/>
      <c r="P8" s="4"/>
    </row>
    <row r="9" ht="15.75" customHeight="1">
      <c r="A9" s="15"/>
      <c r="B9" s="16" t="s">
        <v>43</v>
      </c>
      <c r="C9" s="15"/>
      <c r="D9" s="15"/>
      <c r="E9" s="15"/>
      <c r="F9" s="15"/>
      <c r="G9" s="15"/>
      <c r="H9" s="15"/>
      <c r="I9" s="22">
        <v>165.0</v>
      </c>
      <c r="J9" s="15"/>
      <c r="K9" s="15"/>
      <c r="L9" s="4"/>
      <c r="M9" s="4"/>
      <c r="N9" s="4"/>
      <c r="O9" s="4"/>
      <c r="P9" s="4"/>
    </row>
    <row r="10" ht="15.75" customHeight="1">
      <c r="A10" s="17">
        <v>102002.0</v>
      </c>
      <c r="B10" s="18" t="s">
        <v>49</v>
      </c>
      <c r="C10" s="19">
        <v>0.0</v>
      </c>
      <c r="D10" s="15"/>
      <c r="E10" s="15"/>
      <c r="F10" s="15"/>
      <c r="G10" s="19">
        <v>30.0</v>
      </c>
      <c r="H10" s="19">
        <v>0.0</v>
      </c>
      <c r="I10" s="19">
        <v>15.0</v>
      </c>
      <c r="J10" s="20">
        <f t="shared" ref="J10:J17" si="1">G10-SUM(H10:I10)</f>
        <v>15</v>
      </c>
      <c r="K10" s="23" t="s">
        <v>58</v>
      </c>
      <c r="L10" s="4"/>
      <c r="M10" s="4"/>
      <c r="N10" s="4"/>
      <c r="O10" s="4"/>
      <c r="P10" s="4"/>
    </row>
    <row r="11" ht="15.75" customHeight="1">
      <c r="A11" s="17">
        <v>102113.0</v>
      </c>
      <c r="B11" s="21" t="s">
        <v>54</v>
      </c>
      <c r="C11" s="19">
        <f t="shared" ref="C11:C17" si="2">SUM(D11:F11)</f>
        <v>4</v>
      </c>
      <c r="D11" s="19">
        <v>2.0</v>
      </c>
      <c r="E11" s="19">
        <v>2.0</v>
      </c>
      <c r="F11" s="15"/>
      <c r="G11" s="19">
        <f t="shared" ref="G11:G17" si="3">C11*50</f>
        <v>200</v>
      </c>
      <c r="H11" s="19">
        <v>45.0</v>
      </c>
      <c r="I11" s="19">
        <v>0.0</v>
      </c>
      <c r="J11" s="20">
        <f t="shared" si="1"/>
        <v>155</v>
      </c>
      <c r="K11" s="23" t="s">
        <v>58</v>
      </c>
      <c r="L11" s="4"/>
      <c r="M11" s="4"/>
      <c r="N11" s="4"/>
      <c r="O11" s="4"/>
      <c r="P11" s="4"/>
    </row>
    <row r="12" ht="15.75" customHeight="1">
      <c r="A12" s="17">
        <v>102146.0</v>
      </c>
      <c r="B12" s="18" t="s">
        <v>56</v>
      </c>
      <c r="C12" s="19">
        <f t="shared" si="2"/>
        <v>2</v>
      </c>
      <c r="D12" s="19">
        <v>1.0</v>
      </c>
      <c r="E12" s="15"/>
      <c r="F12" s="19">
        <v>1.0</v>
      </c>
      <c r="G12" s="19">
        <f t="shared" si="3"/>
        <v>100</v>
      </c>
      <c r="H12" s="19">
        <v>45.0</v>
      </c>
      <c r="I12" s="19">
        <v>0.0</v>
      </c>
      <c r="J12" s="20">
        <f t="shared" si="1"/>
        <v>55</v>
      </c>
      <c r="K12" s="23" t="s">
        <v>58</v>
      </c>
      <c r="L12" s="4"/>
      <c r="M12" s="4"/>
      <c r="N12" s="4"/>
      <c r="O12" s="4"/>
      <c r="P12" s="4"/>
    </row>
    <row r="13" ht="15.75" customHeight="1">
      <c r="A13" s="17">
        <v>111154.0</v>
      </c>
      <c r="B13" s="18" t="s">
        <v>57</v>
      </c>
      <c r="C13" s="19">
        <f t="shared" si="2"/>
        <v>3</v>
      </c>
      <c r="D13" s="19">
        <v>3.0</v>
      </c>
      <c r="E13" s="15"/>
      <c r="F13" s="19">
        <v>0.0</v>
      </c>
      <c r="G13" s="19">
        <f t="shared" si="3"/>
        <v>150</v>
      </c>
      <c r="H13" s="19">
        <v>15.0</v>
      </c>
      <c r="I13" s="19">
        <v>30.0</v>
      </c>
      <c r="J13" s="20">
        <f t="shared" si="1"/>
        <v>105</v>
      </c>
      <c r="K13" s="15"/>
      <c r="L13" s="4"/>
      <c r="M13" s="4"/>
      <c r="N13" s="4"/>
      <c r="O13" s="4"/>
      <c r="P13" s="4"/>
    </row>
    <row r="14" ht="15.75" customHeight="1">
      <c r="A14" s="17">
        <v>111155.0</v>
      </c>
      <c r="B14" s="18" t="s">
        <v>8</v>
      </c>
      <c r="C14" s="19">
        <f t="shared" si="2"/>
        <v>3</v>
      </c>
      <c r="D14" s="19">
        <v>1.0</v>
      </c>
      <c r="E14" s="19">
        <v>2.0</v>
      </c>
      <c r="F14" s="19">
        <v>0.0</v>
      </c>
      <c r="G14" s="19">
        <f t="shared" si="3"/>
        <v>150</v>
      </c>
      <c r="H14" s="19">
        <v>15.0</v>
      </c>
      <c r="I14" s="19">
        <v>45.0</v>
      </c>
      <c r="J14" s="20">
        <f t="shared" si="1"/>
        <v>90</v>
      </c>
      <c r="K14" s="15"/>
      <c r="L14" s="4"/>
      <c r="M14" s="4"/>
      <c r="N14" s="4"/>
      <c r="O14" s="4"/>
      <c r="P14" s="4"/>
    </row>
    <row r="15" ht="15.75" customHeight="1">
      <c r="A15" s="17">
        <v>111156.0</v>
      </c>
      <c r="B15" s="18" t="s">
        <v>59</v>
      </c>
      <c r="C15" s="19">
        <f t="shared" si="2"/>
        <v>3</v>
      </c>
      <c r="D15" s="19">
        <v>1.0</v>
      </c>
      <c r="E15" s="19">
        <v>1.0</v>
      </c>
      <c r="F15" s="19">
        <v>1.0</v>
      </c>
      <c r="G15" s="19">
        <f t="shared" si="3"/>
        <v>150</v>
      </c>
      <c r="H15" s="19">
        <v>45.0</v>
      </c>
      <c r="I15" s="19">
        <v>0.0</v>
      </c>
      <c r="J15" s="20">
        <f t="shared" si="1"/>
        <v>105</v>
      </c>
      <c r="K15" s="15"/>
      <c r="L15" s="4"/>
      <c r="M15" s="4"/>
      <c r="N15" s="4"/>
      <c r="O15" s="4"/>
      <c r="P15" s="4"/>
    </row>
    <row r="16" ht="15.75" customHeight="1">
      <c r="A16" s="17">
        <v>111157.0</v>
      </c>
      <c r="B16" s="18" t="s">
        <v>60</v>
      </c>
      <c r="C16" s="19">
        <f t="shared" si="2"/>
        <v>3</v>
      </c>
      <c r="D16" s="19">
        <v>1.0</v>
      </c>
      <c r="E16" s="19">
        <v>2.0</v>
      </c>
      <c r="F16" s="19">
        <v>0.0</v>
      </c>
      <c r="G16" s="19">
        <f t="shared" si="3"/>
        <v>150</v>
      </c>
      <c r="H16" s="19">
        <v>15.0</v>
      </c>
      <c r="I16" s="19">
        <v>45.0</v>
      </c>
      <c r="J16" s="20">
        <f t="shared" si="1"/>
        <v>90</v>
      </c>
      <c r="K16" s="15"/>
      <c r="L16" s="4"/>
      <c r="M16" s="4"/>
      <c r="N16" s="4"/>
      <c r="O16" s="4"/>
      <c r="P16" s="4"/>
    </row>
    <row r="17" ht="15.75" customHeight="1">
      <c r="A17" s="17">
        <v>111158.0</v>
      </c>
      <c r="B17" s="24" t="s">
        <v>61</v>
      </c>
      <c r="C17" s="19">
        <f t="shared" si="2"/>
        <v>2</v>
      </c>
      <c r="D17" s="19">
        <v>0.0</v>
      </c>
      <c r="E17" s="19">
        <v>2.0</v>
      </c>
      <c r="F17" s="15"/>
      <c r="G17" s="19">
        <f t="shared" si="3"/>
        <v>100</v>
      </c>
      <c r="H17" s="19">
        <v>0.0</v>
      </c>
      <c r="I17" s="19">
        <v>30.0</v>
      </c>
      <c r="J17" s="20">
        <f t="shared" si="1"/>
        <v>70</v>
      </c>
      <c r="K17" s="15"/>
      <c r="L17" s="4"/>
      <c r="M17" s="4"/>
      <c r="N17" s="4"/>
      <c r="O17" s="4"/>
      <c r="P17" s="4"/>
    </row>
    <row r="18" ht="15.75" customHeight="1">
      <c r="A18" s="25" t="s">
        <v>62</v>
      </c>
      <c r="B18" s="11"/>
      <c r="C18" s="22">
        <f t="shared" ref="C18:J18" si="4">SUBTOTAL(9,C11:C17)</f>
        <v>20</v>
      </c>
      <c r="D18" s="22">
        <f t="shared" si="4"/>
        <v>9</v>
      </c>
      <c r="E18" s="22">
        <f t="shared" si="4"/>
        <v>9</v>
      </c>
      <c r="F18" s="22">
        <f t="shared" si="4"/>
        <v>2</v>
      </c>
      <c r="G18" s="22">
        <f t="shared" si="4"/>
        <v>1000</v>
      </c>
      <c r="H18" s="22">
        <f t="shared" si="4"/>
        <v>180</v>
      </c>
      <c r="I18" s="22">
        <f t="shared" si="4"/>
        <v>150</v>
      </c>
      <c r="J18" s="22">
        <f t="shared" si="4"/>
        <v>670</v>
      </c>
      <c r="K18" s="28">
        <f>SUM(H18:I18)</f>
        <v>330</v>
      </c>
      <c r="L18" s="4"/>
      <c r="M18" s="4"/>
      <c r="N18" s="4"/>
      <c r="O18" s="4"/>
      <c r="P18" s="4"/>
    </row>
    <row r="19" ht="15.75" customHeight="1">
      <c r="A19" s="17">
        <v>102003.0</v>
      </c>
      <c r="B19" s="18" t="s">
        <v>63</v>
      </c>
      <c r="C19" s="19">
        <f t="shared" ref="C19:C26" si="5">SUM(D19:F19)</f>
        <v>0</v>
      </c>
      <c r="D19" s="15"/>
      <c r="E19" s="15"/>
      <c r="F19" s="15"/>
      <c r="G19" s="19">
        <f t="shared" ref="G19:G26" si="6">C19*50</f>
        <v>0</v>
      </c>
      <c r="H19" s="19">
        <v>0.0</v>
      </c>
      <c r="I19" s="19">
        <v>15.0</v>
      </c>
      <c r="J19" s="20">
        <v>15.0</v>
      </c>
      <c r="K19" s="15"/>
      <c r="L19" s="5"/>
      <c r="M19" s="5"/>
      <c r="N19" s="5"/>
      <c r="O19" s="5"/>
      <c r="P19" s="4"/>
    </row>
    <row r="20" ht="15.75" customHeight="1">
      <c r="A20" s="17">
        <v>102087.0</v>
      </c>
      <c r="B20" s="18" t="s">
        <v>64</v>
      </c>
      <c r="C20" s="19">
        <f t="shared" si="5"/>
        <v>2</v>
      </c>
      <c r="D20" s="19">
        <v>2.0</v>
      </c>
      <c r="E20" s="19">
        <v>0.0</v>
      </c>
      <c r="F20" s="15"/>
      <c r="G20" s="19">
        <f t="shared" si="6"/>
        <v>100</v>
      </c>
      <c r="H20" s="19">
        <v>30.0</v>
      </c>
      <c r="I20" s="19">
        <v>0.0</v>
      </c>
      <c r="J20" s="20">
        <f t="shared" ref="J20:J26" si="7">G20-SUM(H20:I20)</f>
        <v>70</v>
      </c>
      <c r="K20" s="23" t="s">
        <v>58</v>
      </c>
      <c r="L20" s="5"/>
      <c r="M20" s="5"/>
      <c r="N20" s="5"/>
      <c r="O20" s="5"/>
      <c r="P20" s="4"/>
    </row>
    <row r="21" ht="15.75" customHeight="1">
      <c r="A21" s="17">
        <v>102147.0</v>
      </c>
      <c r="B21" s="18" t="s">
        <v>65</v>
      </c>
      <c r="C21" s="19">
        <f t="shared" si="5"/>
        <v>2</v>
      </c>
      <c r="D21" s="19">
        <v>1.0</v>
      </c>
      <c r="E21" s="15"/>
      <c r="F21" s="19">
        <v>1.0</v>
      </c>
      <c r="G21" s="19">
        <f t="shared" si="6"/>
        <v>100</v>
      </c>
      <c r="H21" s="19">
        <v>45.0</v>
      </c>
      <c r="I21" s="19">
        <v>0.0</v>
      </c>
      <c r="J21" s="20">
        <f t="shared" si="7"/>
        <v>55</v>
      </c>
      <c r="K21" s="23" t="s">
        <v>58</v>
      </c>
      <c r="L21" s="5"/>
      <c r="M21" s="5"/>
      <c r="N21" s="5"/>
      <c r="O21" s="5"/>
      <c r="P21" s="4"/>
    </row>
    <row r="22" ht="15.75" customHeight="1">
      <c r="A22" s="17">
        <v>102112.0</v>
      </c>
      <c r="B22" s="26" t="s">
        <v>66</v>
      </c>
      <c r="C22" s="19">
        <f t="shared" si="5"/>
        <v>3</v>
      </c>
      <c r="D22" s="19">
        <v>0.0</v>
      </c>
      <c r="E22" s="19">
        <v>3.0</v>
      </c>
      <c r="F22" s="15"/>
      <c r="G22" s="19">
        <f t="shared" si="6"/>
        <v>150</v>
      </c>
      <c r="H22" s="19">
        <v>0.0</v>
      </c>
      <c r="I22" s="19">
        <v>60.0</v>
      </c>
      <c r="J22" s="20">
        <f t="shared" si="7"/>
        <v>90</v>
      </c>
      <c r="K22" s="23" t="s">
        <v>58</v>
      </c>
      <c r="L22" s="5"/>
      <c r="M22" s="5"/>
      <c r="N22" s="5"/>
      <c r="O22" s="5"/>
      <c r="P22" s="4"/>
    </row>
    <row r="23" ht="15.75" customHeight="1">
      <c r="A23" s="17">
        <v>111159.0</v>
      </c>
      <c r="B23" s="24" t="s">
        <v>25</v>
      </c>
      <c r="C23" s="19">
        <f t="shared" si="5"/>
        <v>3</v>
      </c>
      <c r="D23" s="19">
        <v>1.0</v>
      </c>
      <c r="E23" s="19">
        <v>2.0</v>
      </c>
      <c r="F23" s="15"/>
      <c r="G23" s="19">
        <f t="shared" si="6"/>
        <v>150</v>
      </c>
      <c r="H23" s="30">
        <v>15.0</v>
      </c>
      <c r="I23" s="30">
        <v>30.0</v>
      </c>
      <c r="J23" s="20">
        <f t="shared" si="7"/>
        <v>105</v>
      </c>
      <c r="K23" s="15"/>
      <c r="L23" s="5"/>
      <c r="M23" s="5"/>
      <c r="N23" s="5"/>
      <c r="O23" s="5"/>
      <c r="P23" s="4"/>
    </row>
    <row r="24" ht="15.75" customHeight="1">
      <c r="A24" s="17">
        <v>111174.0</v>
      </c>
      <c r="B24" s="18" t="s">
        <v>67</v>
      </c>
      <c r="C24" s="17">
        <f t="shared" si="5"/>
        <v>3</v>
      </c>
      <c r="D24" s="17">
        <v>3.0</v>
      </c>
      <c r="E24" s="27"/>
      <c r="F24" s="27"/>
      <c r="G24" s="19">
        <f t="shared" si="6"/>
        <v>150</v>
      </c>
      <c r="H24" s="19">
        <v>45.0</v>
      </c>
      <c r="I24" s="19">
        <v>0.0</v>
      </c>
      <c r="J24" s="20">
        <f t="shared" si="7"/>
        <v>105</v>
      </c>
      <c r="K24" s="15"/>
      <c r="L24" s="5"/>
      <c r="M24" s="5"/>
      <c r="N24" s="5"/>
      <c r="O24" s="5"/>
      <c r="P24" s="4"/>
    </row>
    <row r="25" ht="15.75" customHeight="1">
      <c r="A25" s="17">
        <v>111161.0</v>
      </c>
      <c r="B25" s="18" t="s">
        <v>10</v>
      </c>
      <c r="C25" s="19">
        <f t="shared" si="5"/>
        <v>3</v>
      </c>
      <c r="D25" s="19">
        <v>1.0</v>
      </c>
      <c r="E25" s="19">
        <v>2.0</v>
      </c>
      <c r="F25" s="15"/>
      <c r="G25" s="19">
        <f t="shared" si="6"/>
        <v>150</v>
      </c>
      <c r="H25" s="30">
        <v>30.0</v>
      </c>
      <c r="I25" s="30">
        <v>30.0</v>
      </c>
      <c r="J25" s="20">
        <f t="shared" si="7"/>
        <v>90</v>
      </c>
      <c r="K25" s="28"/>
      <c r="L25" s="5"/>
      <c r="M25" s="5"/>
      <c r="N25" s="5"/>
      <c r="O25" s="5"/>
      <c r="P25" s="4"/>
    </row>
    <row r="26" ht="15.75" customHeight="1">
      <c r="A26" s="17">
        <v>111162.0</v>
      </c>
      <c r="B26" s="18" t="s">
        <v>68</v>
      </c>
      <c r="C26" s="19">
        <f t="shared" si="5"/>
        <v>3</v>
      </c>
      <c r="D26" s="19">
        <v>1.0</v>
      </c>
      <c r="E26" s="19">
        <v>1.0</v>
      </c>
      <c r="F26" s="19">
        <v>1.0</v>
      </c>
      <c r="G26" s="19">
        <f t="shared" si="6"/>
        <v>150</v>
      </c>
      <c r="H26" s="30">
        <v>30.0</v>
      </c>
      <c r="I26" s="30">
        <v>30.0</v>
      </c>
      <c r="J26" s="20">
        <f t="shared" si="7"/>
        <v>90</v>
      </c>
      <c r="K26" s="28"/>
      <c r="L26" s="5"/>
      <c r="M26" s="5"/>
      <c r="N26" s="5"/>
      <c r="O26" s="5"/>
      <c r="P26" s="4"/>
    </row>
    <row r="27" ht="15.75" customHeight="1">
      <c r="A27" s="25" t="s">
        <v>69</v>
      </c>
      <c r="B27" s="11"/>
      <c r="C27" s="22">
        <f t="shared" ref="C27:J27" si="8">SUBTOTAL(9,C20:C26)</f>
        <v>19</v>
      </c>
      <c r="D27" s="22">
        <f t="shared" si="8"/>
        <v>9</v>
      </c>
      <c r="E27" s="22">
        <f t="shared" si="8"/>
        <v>8</v>
      </c>
      <c r="F27" s="22">
        <f t="shared" si="8"/>
        <v>2</v>
      </c>
      <c r="G27" s="22">
        <f t="shared" si="8"/>
        <v>950</v>
      </c>
      <c r="H27" s="22">
        <f t="shared" si="8"/>
        <v>195</v>
      </c>
      <c r="I27" s="22">
        <f t="shared" si="8"/>
        <v>150</v>
      </c>
      <c r="J27" s="22">
        <f t="shared" si="8"/>
        <v>605</v>
      </c>
      <c r="K27" s="28">
        <f>SUM(H27:I27)</f>
        <v>345</v>
      </c>
      <c r="L27" s="4"/>
      <c r="M27" s="4"/>
      <c r="N27" s="4"/>
      <c r="O27" s="4"/>
      <c r="P27" s="4"/>
    </row>
    <row r="28" ht="15.75" customHeight="1">
      <c r="A28" s="17">
        <v>102004.0</v>
      </c>
      <c r="B28" s="18" t="s">
        <v>70</v>
      </c>
      <c r="C28" s="19">
        <f t="shared" ref="C28:C35" si="9">SUM(D28:F28)</f>
        <v>0</v>
      </c>
      <c r="D28" s="15"/>
      <c r="E28" s="15"/>
      <c r="F28" s="15"/>
      <c r="G28" s="19">
        <f t="shared" ref="G28:G35" si="10">C28*50</f>
        <v>0</v>
      </c>
      <c r="H28" s="19">
        <v>0.0</v>
      </c>
      <c r="I28" s="19">
        <v>15.0</v>
      </c>
      <c r="J28" s="20">
        <v>15.0</v>
      </c>
      <c r="K28" s="15"/>
      <c r="L28" s="4"/>
      <c r="M28" s="4"/>
      <c r="N28" s="4"/>
      <c r="O28" s="4"/>
      <c r="P28" s="4"/>
    </row>
    <row r="29" ht="15.75" customHeight="1">
      <c r="A29" s="17">
        <v>102063.0</v>
      </c>
      <c r="B29" s="18" t="s">
        <v>71</v>
      </c>
      <c r="C29" s="19">
        <f t="shared" si="9"/>
        <v>3</v>
      </c>
      <c r="D29" s="19">
        <v>3.0</v>
      </c>
      <c r="E29" s="15"/>
      <c r="F29" s="15"/>
      <c r="G29" s="19">
        <f t="shared" si="10"/>
        <v>150</v>
      </c>
      <c r="H29" s="19">
        <v>15.0</v>
      </c>
      <c r="I29" s="19">
        <v>0.0</v>
      </c>
      <c r="J29" s="20">
        <f t="shared" ref="J29:J37" si="11">G29-SUM(H29:I29)</f>
        <v>135</v>
      </c>
      <c r="K29" s="23" t="s">
        <v>58</v>
      </c>
      <c r="L29" s="4"/>
      <c r="M29" s="4"/>
      <c r="N29" s="4"/>
      <c r="O29" s="4"/>
      <c r="P29" s="4"/>
    </row>
    <row r="30" ht="15.75" customHeight="1">
      <c r="A30" s="17">
        <v>102064.0</v>
      </c>
      <c r="B30" s="18" t="s">
        <v>72</v>
      </c>
      <c r="C30" s="19">
        <f t="shared" si="9"/>
        <v>2</v>
      </c>
      <c r="D30" s="19">
        <v>2.0</v>
      </c>
      <c r="E30" s="15"/>
      <c r="F30" s="15"/>
      <c r="G30" s="19">
        <f t="shared" si="10"/>
        <v>100</v>
      </c>
      <c r="H30" s="19">
        <v>15.0</v>
      </c>
      <c r="I30" s="19">
        <v>0.0</v>
      </c>
      <c r="J30" s="20">
        <f t="shared" si="11"/>
        <v>85</v>
      </c>
      <c r="K30" s="23" t="s">
        <v>58</v>
      </c>
      <c r="L30" s="4"/>
      <c r="M30" s="4"/>
      <c r="N30" s="4"/>
      <c r="O30" s="4"/>
      <c r="P30" s="4"/>
    </row>
    <row r="31" ht="15.75" customHeight="1">
      <c r="A31" s="17">
        <v>102065.0</v>
      </c>
      <c r="B31" s="18" t="s">
        <v>73</v>
      </c>
      <c r="C31" s="19">
        <f t="shared" si="9"/>
        <v>2</v>
      </c>
      <c r="D31" s="19">
        <v>2.0</v>
      </c>
      <c r="E31" s="15"/>
      <c r="F31" s="15"/>
      <c r="G31" s="19">
        <f t="shared" si="10"/>
        <v>100</v>
      </c>
      <c r="H31" s="19">
        <v>15.0</v>
      </c>
      <c r="I31" s="19">
        <v>0.0</v>
      </c>
      <c r="J31" s="20">
        <f t="shared" si="11"/>
        <v>85</v>
      </c>
      <c r="K31" s="23" t="s">
        <v>58</v>
      </c>
      <c r="L31" s="4"/>
      <c r="M31" s="4"/>
      <c r="N31" s="4"/>
      <c r="O31" s="4"/>
      <c r="P31" s="4"/>
    </row>
    <row r="32" ht="15.75" customHeight="1">
      <c r="A32" s="17">
        <v>102148.0</v>
      </c>
      <c r="B32" s="18" t="s">
        <v>74</v>
      </c>
      <c r="C32" s="19">
        <f t="shared" si="9"/>
        <v>2</v>
      </c>
      <c r="D32" s="19">
        <v>1.0</v>
      </c>
      <c r="E32" s="15"/>
      <c r="F32" s="19">
        <v>1.0</v>
      </c>
      <c r="G32" s="19">
        <f t="shared" si="10"/>
        <v>100</v>
      </c>
      <c r="H32" s="19">
        <v>45.0</v>
      </c>
      <c r="I32" s="19">
        <v>0.0</v>
      </c>
      <c r="J32" s="20">
        <f t="shared" si="11"/>
        <v>55</v>
      </c>
      <c r="K32" s="23" t="s">
        <v>58</v>
      </c>
      <c r="L32" s="4"/>
      <c r="M32" s="4"/>
      <c r="N32" s="4"/>
      <c r="O32" s="4"/>
      <c r="P32" s="4"/>
    </row>
    <row r="33" ht="15.75" customHeight="1">
      <c r="A33" s="17">
        <v>111160.0</v>
      </c>
      <c r="B33" s="18" t="s">
        <v>34</v>
      </c>
      <c r="C33" s="17">
        <f t="shared" si="9"/>
        <v>3</v>
      </c>
      <c r="D33" s="17">
        <v>1.0</v>
      </c>
      <c r="E33" s="17">
        <v>2.0</v>
      </c>
      <c r="F33" s="27"/>
      <c r="G33" s="19">
        <f t="shared" si="10"/>
        <v>150</v>
      </c>
      <c r="H33" s="17">
        <v>15.0</v>
      </c>
      <c r="I33" s="17">
        <v>45.0</v>
      </c>
      <c r="J33" s="29">
        <f t="shared" si="11"/>
        <v>90</v>
      </c>
      <c r="K33" s="28"/>
      <c r="L33" s="4"/>
      <c r="M33" s="4"/>
      <c r="N33" s="4"/>
      <c r="O33" s="4"/>
      <c r="P33" s="4"/>
    </row>
    <row r="34" ht="15.75" customHeight="1">
      <c r="A34" s="17">
        <v>111163.0</v>
      </c>
      <c r="B34" s="18" t="s">
        <v>75</v>
      </c>
      <c r="C34" s="17">
        <f t="shared" si="9"/>
        <v>2</v>
      </c>
      <c r="D34" s="17">
        <v>1.0</v>
      </c>
      <c r="E34" s="17">
        <v>1.0</v>
      </c>
      <c r="F34" s="27"/>
      <c r="G34" s="19">
        <f t="shared" si="10"/>
        <v>100</v>
      </c>
      <c r="H34" s="17">
        <v>15.0</v>
      </c>
      <c r="I34" s="17">
        <v>15.0</v>
      </c>
      <c r="J34" s="29">
        <f t="shared" si="11"/>
        <v>70</v>
      </c>
      <c r="K34" s="15"/>
      <c r="L34" s="4"/>
      <c r="M34" s="4"/>
      <c r="N34" s="4"/>
      <c r="O34" s="4"/>
      <c r="P34" s="4"/>
    </row>
    <row r="35" ht="15.75" customHeight="1">
      <c r="A35" s="17">
        <v>111164.0</v>
      </c>
      <c r="B35" s="18" t="s">
        <v>17</v>
      </c>
      <c r="C35" s="17">
        <f t="shared" si="9"/>
        <v>3</v>
      </c>
      <c r="D35" s="17">
        <v>1.0</v>
      </c>
      <c r="E35" s="17">
        <v>2.0</v>
      </c>
      <c r="F35" s="27"/>
      <c r="G35" s="19">
        <f t="shared" si="10"/>
        <v>150</v>
      </c>
      <c r="H35" s="17">
        <v>15.0</v>
      </c>
      <c r="I35" s="17">
        <v>45.0</v>
      </c>
      <c r="J35" s="29">
        <f t="shared" si="11"/>
        <v>90</v>
      </c>
      <c r="K35" s="28"/>
      <c r="L35" s="4"/>
      <c r="M35" s="4"/>
      <c r="N35" s="4"/>
      <c r="O35" s="4"/>
      <c r="P35" s="4"/>
    </row>
    <row r="36" ht="15.75" customHeight="1">
      <c r="A36" s="17">
        <v>111166.0</v>
      </c>
      <c r="B36" s="18" t="s">
        <v>47</v>
      </c>
      <c r="C36" s="19">
        <v>3.0</v>
      </c>
      <c r="D36" s="19">
        <v>1.0</v>
      </c>
      <c r="E36" s="19">
        <v>2.0</v>
      </c>
      <c r="F36" s="19">
        <v>0.0</v>
      </c>
      <c r="G36" s="19">
        <v>150.0</v>
      </c>
      <c r="H36" s="19">
        <v>15.0</v>
      </c>
      <c r="I36" s="19">
        <v>45.0</v>
      </c>
      <c r="J36" s="20">
        <f t="shared" si="11"/>
        <v>90</v>
      </c>
      <c r="K36" s="15"/>
      <c r="L36" s="4"/>
      <c r="M36" s="4"/>
      <c r="N36" s="4"/>
      <c r="O36" s="4"/>
      <c r="P36" s="4"/>
    </row>
    <row r="37" ht="15.75" customHeight="1">
      <c r="A37" s="17">
        <v>111167.0</v>
      </c>
      <c r="B37" s="18" t="s">
        <v>13</v>
      </c>
      <c r="C37" s="17">
        <f>SUM(D37:F37)</f>
        <v>3</v>
      </c>
      <c r="D37" s="17">
        <v>1.0</v>
      </c>
      <c r="E37" s="17">
        <v>2.0</v>
      </c>
      <c r="F37" s="17">
        <v>0.0</v>
      </c>
      <c r="G37" s="19">
        <f>C37*50</f>
        <v>150</v>
      </c>
      <c r="H37" s="17">
        <v>15.0</v>
      </c>
      <c r="I37" s="17">
        <v>45.0</v>
      </c>
      <c r="J37" s="29">
        <f t="shared" si="11"/>
        <v>90</v>
      </c>
      <c r="K37" s="28"/>
      <c r="L37" s="4"/>
      <c r="M37" s="4"/>
      <c r="N37" s="4"/>
      <c r="O37" s="4"/>
      <c r="P37" s="4"/>
    </row>
    <row r="38" ht="15.75" customHeight="1">
      <c r="A38" s="25" t="s">
        <v>76</v>
      </c>
      <c r="B38" s="11"/>
      <c r="C38" s="22">
        <f t="shared" ref="C38:J38" si="12">SUBTOTAL(9,C29:C37)</f>
        <v>23</v>
      </c>
      <c r="D38" s="22">
        <f t="shared" si="12"/>
        <v>13</v>
      </c>
      <c r="E38" s="22">
        <f t="shared" si="12"/>
        <v>9</v>
      </c>
      <c r="F38" s="22">
        <f t="shared" si="12"/>
        <v>1</v>
      </c>
      <c r="G38" s="22">
        <f t="shared" si="12"/>
        <v>1150</v>
      </c>
      <c r="H38" s="22">
        <f t="shared" si="12"/>
        <v>165</v>
      </c>
      <c r="I38" s="22">
        <f t="shared" si="12"/>
        <v>195</v>
      </c>
      <c r="J38" s="22">
        <f t="shared" si="12"/>
        <v>790</v>
      </c>
      <c r="K38" s="28">
        <f>SUM(H38:I38)</f>
        <v>360</v>
      </c>
      <c r="L38" s="4"/>
      <c r="M38" s="4"/>
      <c r="N38" s="4"/>
      <c r="O38" s="4"/>
      <c r="P38" s="4"/>
    </row>
    <row r="39" ht="15.75" customHeight="1">
      <c r="A39" s="17">
        <v>102033.0</v>
      </c>
      <c r="B39" s="18" t="s">
        <v>77</v>
      </c>
      <c r="C39" s="19">
        <f>SUM(D39:F39)</f>
        <v>2</v>
      </c>
      <c r="D39" s="19">
        <v>2.0</v>
      </c>
      <c r="E39" s="15"/>
      <c r="F39" s="15"/>
      <c r="G39" s="19">
        <f t="shared" ref="G39:G42" si="13">C39*50</f>
        <v>100</v>
      </c>
      <c r="H39" s="19">
        <v>15.0</v>
      </c>
      <c r="I39" s="19">
        <v>0.0</v>
      </c>
      <c r="J39" s="20">
        <f t="shared" ref="J39:J46" si="14">G39-SUM(H39:I39)</f>
        <v>85</v>
      </c>
      <c r="K39" s="23" t="s">
        <v>58</v>
      </c>
      <c r="L39" s="5"/>
      <c r="M39" s="5"/>
      <c r="N39" s="5"/>
      <c r="O39" s="5"/>
      <c r="P39" s="4"/>
    </row>
    <row r="40" ht="15.75" customHeight="1">
      <c r="A40" s="39">
        <v>102153.0</v>
      </c>
      <c r="B40" s="18" t="s">
        <v>78</v>
      </c>
      <c r="C40" s="40">
        <v>3.0</v>
      </c>
      <c r="D40" s="40">
        <v>3.0</v>
      </c>
      <c r="E40" s="19">
        <v>0.0</v>
      </c>
      <c r="F40" s="15"/>
      <c r="G40" s="19">
        <f t="shared" si="13"/>
        <v>150</v>
      </c>
      <c r="H40" s="40">
        <v>45.0</v>
      </c>
      <c r="I40" s="19">
        <v>0.0</v>
      </c>
      <c r="J40" s="20">
        <f t="shared" si="14"/>
        <v>105</v>
      </c>
      <c r="K40" s="28"/>
      <c r="L40" s="5"/>
      <c r="M40" s="5"/>
      <c r="N40" s="5"/>
      <c r="O40" s="5"/>
      <c r="P40" s="4"/>
    </row>
    <row r="41" ht="15.75" customHeight="1">
      <c r="A41" s="17">
        <v>102149.0</v>
      </c>
      <c r="B41" s="18" t="s">
        <v>79</v>
      </c>
      <c r="C41" s="19">
        <f t="shared" ref="C41:C42" si="15">SUM(D41:F41)</f>
        <v>3</v>
      </c>
      <c r="D41" s="19">
        <v>2.0</v>
      </c>
      <c r="E41" s="15"/>
      <c r="F41" s="19">
        <v>1.0</v>
      </c>
      <c r="G41" s="19">
        <f t="shared" si="13"/>
        <v>150</v>
      </c>
      <c r="H41" s="19">
        <v>60.0</v>
      </c>
      <c r="I41" s="19">
        <v>0.0</v>
      </c>
      <c r="J41" s="20">
        <f t="shared" si="14"/>
        <v>90</v>
      </c>
      <c r="K41" s="23" t="s">
        <v>58</v>
      </c>
      <c r="L41" s="5"/>
      <c r="M41" s="5"/>
      <c r="N41" s="5"/>
      <c r="O41" s="5"/>
      <c r="P41" s="4"/>
    </row>
    <row r="42" ht="15.75" customHeight="1">
      <c r="A42" s="17">
        <v>111165.0</v>
      </c>
      <c r="B42" s="18" t="s">
        <v>38</v>
      </c>
      <c r="C42" s="19">
        <f t="shared" si="15"/>
        <v>3</v>
      </c>
      <c r="D42" s="19">
        <v>1.0</v>
      </c>
      <c r="E42" s="19">
        <v>2.0</v>
      </c>
      <c r="F42" s="15"/>
      <c r="G42" s="19">
        <f t="shared" si="13"/>
        <v>150</v>
      </c>
      <c r="H42" s="19">
        <v>30.0</v>
      </c>
      <c r="I42" s="19">
        <v>30.0</v>
      </c>
      <c r="J42" s="20">
        <f t="shared" si="14"/>
        <v>90</v>
      </c>
      <c r="K42" s="28"/>
      <c r="L42" s="5"/>
      <c r="M42" s="5"/>
      <c r="N42" s="5"/>
      <c r="O42" s="5"/>
      <c r="P42" s="4"/>
    </row>
    <row r="43" ht="15.75" customHeight="1">
      <c r="A43" s="19">
        <v>111170.0</v>
      </c>
      <c r="B43" s="18" t="s">
        <v>48</v>
      </c>
      <c r="C43" s="17">
        <v>3.0</v>
      </c>
      <c r="D43" s="17">
        <v>1.0</v>
      </c>
      <c r="E43" s="17">
        <v>2.0</v>
      </c>
      <c r="F43" s="27"/>
      <c r="G43" s="19">
        <v>150.0</v>
      </c>
      <c r="H43" s="17">
        <v>15.0</v>
      </c>
      <c r="I43" s="17">
        <v>45.0</v>
      </c>
      <c r="J43" s="29">
        <f t="shared" si="14"/>
        <v>90</v>
      </c>
      <c r="K43" s="28"/>
      <c r="L43" s="5"/>
      <c r="M43" s="5"/>
      <c r="N43" s="5"/>
      <c r="O43" s="5"/>
      <c r="P43" s="4"/>
    </row>
    <row r="44" ht="15.75" customHeight="1">
      <c r="A44" s="17">
        <v>111171.0</v>
      </c>
      <c r="B44" s="18" t="s">
        <v>19</v>
      </c>
      <c r="C44" s="19">
        <f t="shared" ref="C44:C46" si="16">SUM(D44:F44)</f>
        <v>3</v>
      </c>
      <c r="D44" s="19">
        <v>1.0</v>
      </c>
      <c r="E44" s="19">
        <v>2.0</v>
      </c>
      <c r="F44" s="15"/>
      <c r="G44" s="19">
        <f t="shared" ref="G44:G46" si="17">C44*50</f>
        <v>150</v>
      </c>
      <c r="H44" s="19">
        <v>15.0</v>
      </c>
      <c r="I44" s="19">
        <v>45.0</v>
      </c>
      <c r="J44" s="20">
        <f t="shared" si="14"/>
        <v>90</v>
      </c>
      <c r="K44" s="28"/>
      <c r="L44" s="5"/>
      <c r="M44" s="5"/>
      <c r="N44" s="5"/>
      <c r="O44" s="5"/>
      <c r="P44" s="4"/>
    </row>
    <row r="45" ht="15.75" customHeight="1">
      <c r="A45" s="17">
        <v>111172.0</v>
      </c>
      <c r="B45" s="18" t="s">
        <v>14</v>
      </c>
      <c r="C45" s="19">
        <f t="shared" si="16"/>
        <v>3</v>
      </c>
      <c r="D45" s="19">
        <v>1.0</v>
      </c>
      <c r="E45" s="19">
        <v>2.0</v>
      </c>
      <c r="F45" s="15"/>
      <c r="G45" s="19">
        <f t="shared" si="17"/>
        <v>150</v>
      </c>
      <c r="H45" s="19">
        <v>15.0</v>
      </c>
      <c r="I45" s="19">
        <v>45.0</v>
      </c>
      <c r="J45" s="20">
        <f t="shared" si="14"/>
        <v>90</v>
      </c>
      <c r="K45" s="28"/>
      <c r="L45" s="5"/>
      <c r="M45" s="5"/>
      <c r="N45" s="5"/>
      <c r="O45" s="5"/>
      <c r="P45" s="4"/>
    </row>
    <row r="46" ht="15.75" customHeight="1">
      <c r="A46" s="17">
        <v>111173.0</v>
      </c>
      <c r="B46" s="18" t="s">
        <v>80</v>
      </c>
      <c r="C46" s="19">
        <f t="shared" si="16"/>
        <v>2</v>
      </c>
      <c r="D46" s="19">
        <v>1.0</v>
      </c>
      <c r="E46" s="19">
        <v>0.0</v>
      </c>
      <c r="F46" s="19">
        <v>1.0</v>
      </c>
      <c r="G46" s="19">
        <f t="shared" si="17"/>
        <v>100</v>
      </c>
      <c r="H46" s="19">
        <v>30.0</v>
      </c>
      <c r="I46" s="19">
        <v>0.0</v>
      </c>
      <c r="J46" s="20">
        <f t="shared" si="14"/>
        <v>70</v>
      </c>
      <c r="K46" s="28"/>
      <c r="L46" s="5"/>
      <c r="M46" s="5"/>
      <c r="N46" s="5"/>
      <c r="O46" s="5"/>
      <c r="P46" s="4"/>
    </row>
    <row r="47" ht="15.75" customHeight="1">
      <c r="A47" s="25" t="s">
        <v>81</v>
      </c>
      <c r="B47" s="11"/>
      <c r="C47" s="22">
        <f t="shared" ref="C47:J47" si="18">SUBTOTAL(9,C39:C46)</f>
        <v>22</v>
      </c>
      <c r="D47" s="22">
        <f t="shared" si="18"/>
        <v>12</v>
      </c>
      <c r="E47" s="22">
        <f t="shared" si="18"/>
        <v>8</v>
      </c>
      <c r="F47" s="22">
        <f t="shared" si="18"/>
        <v>2</v>
      </c>
      <c r="G47" s="22">
        <f t="shared" si="18"/>
        <v>1100</v>
      </c>
      <c r="H47" s="22">
        <f t="shared" si="18"/>
        <v>225</v>
      </c>
      <c r="I47" s="22">
        <f t="shared" si="18"/>
        <v>165</v>
      </c>
      <c r="J47" s="22">
        <f t="shared" si="18"/>
        <v>710</v>
      </c>
      <c r="K47" s="28">
        <f>SUM(H47:I47)</f>
        <v>390</v>
      </c>
      <c r="L47" s="4"/>
      <c r="M47" s="4"/>
      <c r="N47" s="4"/>
      <c r="O47" s="4"/>
      <c r="P47" s="4"/>
    </row>
    <row r="48" ht="15.75" customHeight="1">
      <c r="A48" s="17">
        <v>102066.0</v>
      </c>
      <c r="B48" s="18" t="s">
        <v>82</v>
      </c>
      <c r="C48" s="19">
        <f t="shared" ref="C48:C53" si="19">SUM(D48:F48)</f>
        <v>2</v>
      </c>
      <c r="D48" s="19">
        <v>2.0</v>
      </c>
      <c r="E48" s="15"/>
      <c r="F48" s="15"/>
      <c r="G48" s="19">
        <f t="shared" ref="G48:G53" si="20">C48*50</f>
        <v>100</v>
      </c>
      <c r="H48" s="19">
        <v>15.0</v>
      </c>
      <c r="I48" s="15"/>
      <c r="J48" s="20">
        <f t="shared" ref="J48:J56" si="21">G48-SUM(H48:I48)</f>
        <v>85</v>
      </c>
      <c r="K48" s="23" t="s">
        <v>58</v>
      </c>
      <c r="L48" s="5"/>
      <c r="M48" s="5"/>
      <c r="N48" s="5"/>
      <c r="O48" s="5"/>
      <c r="P48" s="4"/>
    </row>
    <row r="49" ht="15.75" customHeight="1">
      <c r="A49" s="17">
        <v>102150.0</v>
      </c>
      <c r="B49" s="18" t="s">
        <v>83</v>
      </c>
      <c r="C49" s="19">
        <f t="shared" si="19"/>
        <v>3</v>
      </c>
      <c r="D49" s="19">
        <v>2.0</v>
      </c>
      <c r="E49" s="15"/>
      <c r="F49" s="19">
        <v>1.0</v>
      </c>
      <c r="G49" s="19">
        <f t="shared" si="20"/>
        <v>150</v>
      </c>
      <c r="H49" s="19">
        <v>60.0</v>
      </c>
      <c r="I49" s="15"/>
      <c r="J49" s="20">
        <f t="shared" si="21"/>
        <v>90</v>
      </c>
      <c r="K49" s="23" t="s">
        <v>58</v>
      </c>
      <c r="L49" s="5"/>
      <c r="M49" s="5"/>
      <c r="N49" s="5"/>
      <c r="O49" s="5"/>
      <c r="P49" s="4"/>
    </row>
    <row r="50" ht="15.75" customHeight="1">
      <c r="A50" s="17">
        <v>111168.0</v>
      </c>
      <c r="B50" s="18" t="s">
        <v>30</v>
      </c>
      <c r="C50" s="17">
        <f t="shared" si="19"/>
        <v>3</v>
      </c>
      <c r="D50" s="17">
        <v>1.0</v>
      </c>
      <c r="E50" s="17">
        <v>2.0</v>
      </c>
      <c r="F50" s="27"/>
      <c r="G50" s="19">
        <f t="shared" si="20"/>
        <v>150</v>
      </c>
      <c r="H50" s="17">
        <v>15.0</v>
      </c>
      <c r="I50" s="17">
        <v>30.0</v>
      </c>
      <c r="J50" s="29">
        <f t="shared" si="21"/>
        <v>105</v>
      </c>
      <c r="K50" s="51"/>
      <c r="L50" s="5"/>
      <c r="M50" s="5"/>
      <c r="N50" s="5"/>
      <c r="O50" s="5"/>
      <c r="P50" s="4"/>
    </row>
    <row r="51" ht="15.75" customHeight="1">
      <c r="A51" s="17">
        <v>111175.0</v>
      </c>
      <c r="B51" s="18" t="s">
        <v>40</v>
      </c>
      <c r="C51" s="19">
        <f t="shared" si="19"/>
        <v>3</v>
      </c>
      <c r="D51" s="19">
        <v>1.0</v>
      </c>
      <c r="E51" s="19">
        <v>2.0</v>
      </c>
      <c r="F51" s="19">
        <v>0.0</v>
      </c>
      <c r="G51" s="19">
        <f t="shared" si="20"/>
        <v>150</v>
      </c>
      <c r="H51" s="19">
        <v>15.0</v>
      </c>
      <c r="I51" s="19">
        <v>30.0</v>
      </c>
      <c r="J51" s="20">
        <f t="shared" si="21"/>
        <v>105</v>
      </c>
      <c r="K51" s="28"/>
      <c r="L51" s="5"/>
      <c r="M51" s="5"/>
      <c r="N51" s="5"/>
      <c r="O51" s="5"/>
      <c r="P51" s="4"/>
    </row>
    <row r="52" ht="15.75" customHeight="1">
      <c r="A52" s="17">
        <v>111181.0</v>
      </c>
      <c r="B52" s="18" t="s">
        <v>29</v>
      </c>
      <c r="C52" s="19">
        <f t="shared" si="19"/>
        <v>3</v>
      </c>
      <c r="D52" s="19">
        <v>1.0</v>
      </c>
      <c r="E52" s="19">
        <v>2.0</v>
      </c>
      <c r="F52" s="19">
        <v>0.0</v>
      </c>
      <c r="G52" s="19">
        <f t="shared" si="20"/>
        <v>150</v>
      </c>
      <c r="H52" s="19">
        <v>15.0</v>
      </c>
      <c r="I52" s="19">
        <v>45.0</v>
      </c>
      <c r="J52" s="20">
        <f t="shared" si="21"/>
        <v>90</v>
      </c>
      <c r="K52" s="28"/>
      <c r="L52" s="5"/>
      <c r="M52" s="5"/>
      <c r="N52" s="5"/>
      <c r="O52" s="5"/>
      <c r="P52" s="4"/>
    </row>
    <row r="53" ht="15.75" customHeight="1">
      <c r="A53" s="17">
        <v>111176.0</v>
      </c>
      <c r="B53" s="18" t="s">
        <v>21</v>
      </c>
      <c r="C53" s="19">
        <f t="shared" si="19"/>
        <v>3</v>
      </c>
      <c r="D53" s="19">
        <v>1.0</v>
      </c>
      <c r="E53" s="19">
        <v>2.0</v>
      </c>
      <c r="F53" s="19">
        <v>0.0</v>
      </c>
      <c r="G53" s="19">
        <f t="shared" si="20"/>
        <v>150</v>
      </c>
      <c r="H53" s="19">
        <v>30.0</v>
      </c>
      <c r="I53" s="19">
        <v>30.0</v>
      </c>
      <c r="J53" s="20">
        <f t="shared" si="21"/>
        <v>90</v>
      </c>
      <c r="K53" s="28"/>
      <c r="L53" s="5"/>
      <c r="M53" s="5"/>
      <c r="N53" s="5"/>
      <c r="O53" s="5"/>
      <c r="P53" s="4"/>
    </row>
    <row r="54" ht="15.75" customHeight="1">
      <c r="A54" s="25" t="s">
        <v>84</v>
      </c>
      <c r="B54" s="11"/>
      <c r="C54" s="15"/>
      <c r="D54" s="15"/>
      <c r="E54" s="15"/>
      <c r="F54" s="15"/>
      <c r="G54" s="15"/>
      <c r="H54" s="15"/>
      <c r="I54" s="15"/>
      <c r="J54" s="20">
        <f t="shared" si="21"/>
        <v>0</v>
      </c>
      <c r="K54" s="15"/>
      <c r="L54" s="5"/>
      <c r="M54" s="5"/>
      <c r="N54" s="5"/>
      <c r="O54" s="5"/>
      <c r="P54" s="4"/>
    </row>
    <row r="55" ht="15.75" customHeight="1">
      <c r="A55" s="31">
        <v>111241.0</v>
      </c>
      <c r="B55" s="32" t="s">
        <v>85</v>
      </c>
      <c r="C55" s="33">
        <f>SUM(D55:F55)</f>
        <v>3</v>
      </c>
      <c r="D55" s="33">
        <v>1.0</v>
      </c>
      <c r="E55" s="33">
        <v>2.0</v>
      </c>
      <c r="F55" s="33">
        <v>0.0</v>
      </c>
      <c r="G55" s="33">
        <f>C55*50</f>
        <v>150</v>
      </c>
      <c r="H55" s="33">
        <v>30.0</v>
      </c>
      <c r="I55" s="33">
        <v>30.0</v>
      </c>
      <c r="J55" s="20">
        <f t="shared" si="21"/>
        <v>90</v>
      </c>
      <c r="K55" s="52" t="s">
        <v>109</v>
      </c>
      <c r="L55" s="5"/>
      <c r="M55" s="5"/>
      <c r="N55" s="5"/>
      <c r="O55" s="5"/>
      <c r="P55" s="4"/>
    </row>
    <row r="56" ht="15.75" customHeight="1">
      <c r="A56" s="17">
        <v>111179.0</v>
      </c>
      <c r="B56" s="18" t="s">
        <v>86</v>
      </c>
      <c r="C56" s="13"/>
      <c r="D56" s="13"/>
      <c r="E56" s="13"/>
      <c r="F56" s="13"/>
      <c r="G56" s="13"/>
      <c r="H56" s="13"/>
      <c r="I56" s="13"/>
      <c r="J56" s="20">
        <f t="shared" si="21"/>
        <v>0</v>
      </c>
      <c r="K56" s="28"/>
      <c r="L56" s="5"/>
      <c r="M56" s="5"/>
      <c r="N56" s="5"/>
      <c r="O56" s="5"/>
      <c r="P56" s="4"/>
    </row>
    <row r="57" ht="15.75" customHeight="1">
      <c r="A57" s="25" t="s">
        <v>87</v>
      </c>
      <c r="B57" s="11"/>
      <c r="C57" s="22">
        <f t="shared" ref="C57:J57" si="22">SUBTOTAL(9,C48:C56)</f>
        <v>20</v>
      </c>
      <c r="D57" s="22">
        <f t="shared" si="22"/>
        <v>9</v>
      </c>
      <c r="E57" s="22">
        <f t="shared" si="22"/>
        <v>10</v>
      </c>
      <c r="F57" s="22">
        <f t="shared" si="22"/>
        <v>1</v>
      </c>
      <c r="G57" s="22">
        <f t="shared" si="22"/>
        <v>1000</v>
      </c>
      <c r="H57" s="22">
        <f t="shared" si="22"/>
        <v>180</v>
      </c>
      <c r="I57" s="22">
        <f t="shared" si="22"/>
        <v>165</v>
      </c>
      <c r="J57" s="22">
        <f t="shared" si="22"/>
        <v>655</v>
      </c>
      <c r="K57" s="28">
        <f>SUM(H57:I57)</f>
        <v>345</v>
      </c>
      <c r="L57" s="4"/>
      <c r="M57" s="4"/>
      <c r="N57" s="4"/>
      <c r="O57" s="4"/>
      <c r="P57" s="4"/>
    </row>
    <row r="58" ht="15.75" customHeight="1">
      <c r="A58" s="17">
        <v>102151.0</v>
      </c>
      <c r="B58" s="18" t="s">
        <v>88</v>
      </c>
      <c r="C58" s="19">
        <f t="shared" ref="C58:C61" si="23">SUM(D58:F58)</f>
        <v>3</v>
      </c>
      <c r="D58" s="19">
        <v>2.0</v>
      </c>
      <c r="E58" s="15"/>
      <c r="F58" s="19">
        <v>1.0</v>
      </c>
      <c r="G58" s="19">
        <f t="shared" ref="G58:G61" si="24">C58*50</f>
        <v>150</v>
      </c>
      <c r="H58" s="19">
        <v>60.0</v>
      </c>
      <c r="I58" s="15"/>
      <c r="J58" s="20">
        <f t="shared" ref="J58:J61" si="25">G58-SUM(H58:I58)</f>
        <v>90</v>
      </c>
      <c r="K58" s="15"/>
      <c r="L58" s="5"/>
      <c r="M58" s="5"/>
      <c r="N58" s="5"/>
      <c r="O58" s="5"/>
      <c r="P58" s="4"/>
    </row>
    <row r="59" ht="15.75" customHeight="1">
      <c r="A59" s="17">
        <v>111183.0</v>
      </c>
      <c r="B59" s="18" t="s">
        <v>44</v>
      </c>
      <c r="C59" s="19">
        <f t="shared" si="23"/>
        <v>3</v>
      </c>
      <c r="D59" s="19">
        <v>1.0</v>
      </c>
      <c r="E59" s="19">
        <v>2.0</v>
      </c>
      <c r="F59" s="15"/>
      <c r="G59" s="19">
        <f t="shared" si="24"/>
        <v>150</v>
      </c>
      <c r="H59" s="19">
        <v>15.0</v>
      </c>
      <c r="I59" s="19">
        <v>30.0</v>
      </c>
      <c r="J59" s="20">
        <f t="shared" si="25"/>
        <v>105</v>
      </c>
      <c r="K59" s="28"/>
      <c r="L59" s="5"/>
      <c r="M59" s="5"/>
      <c r="N59" s="5"/>
      <c r="O59" s="5"/>
      <c r="P59" s="4"/>
    </row>
    <row r="60" ht="15.75" customHeight="1">
      <c r="A60" s="17">
        <v>111182.0</v>
      </c>
      <c r="B60" s="18" t="s">
        <v>22</v>
      </c>
      <c r="C60" s="19">
        <f t="shared" si="23"/>
        <v>3</v>
      </c>
      <c r="D60" s="19">
        <v>1.0</v>
      </c>
      <c r="E60" s="19">
        <v>2.0</v>
      </c>
      <c r="F60" s="19">
        <v>0.0</v>
      </c>
      <c r="G60" s="19">
        <f t="shared" si="24"/>
        <v>150</v>
      </c>
      <c r="H60" s="19">
        <v>15.0</v>
      </c>
      <c r="I60" s="19">
        <v>45.0</v>
      </c>
      <c r="J60" s="20">
        <f t="shared" si="25"/>
        <v>90</v>
      </c>
      <c r="K60" s="28"/>
      <c r="L60" s="5"/>
      <c r="M60" s="5"/>
      <c r="N60" s="5"/>
      <c r="O60" s="5"/>
      <c r="P60" s="4"/>
    </row>
    <row r="61" ht="15.75" customHeight="1">
      <c r="A61" s="17">
        <v>111184.0</v>
      </c>
      <c r="B61" s="18" t="s">
        <v>23</v>
      </c>
      <c r="C61" s="19">
        <f t="shared" si="23"/>
        <v>3</v>
      </c>
      <c r="D61" s="19">
        <v>1.0</v>
      </c>
      <c r="E61" s="19">
        <v>2.0</v>
      </c>
      <c r="F61" s="19">
        <v>0.0</v>
      </c>
      <c r="G61" s="19">
        <f t="shared" si="24"/>
        <v>150</v>
      </c>
      <c r="H61" s="19">
        <v>15.0</v>
      </c>
      <c r="I61" s="19">
        <v>45.0</v>
      </c>
      <c r="J61" s="20">
        <f t="shared" si="25"/>
        <v>90</v>
      </c>
      <c r="K61" s="28"/>
      <c r="L61" s="5"/>
      <c r="M61" s="5"/>
      <c r="N61" s="5"/>
      <c r="O61" s="5"/>
      <c r="P61" s="4"/>
    </row>
    <row r="62" ht="15.75" customHeight="1">
      <c r="A62" s="25" t="s">
        <v>84</v>
      </c>
      <c r="B62" s="11"/>
      <c r="C62" s="15"/>
      <c r="D62" s="15"/>
      <c r="E62" s="15"/>
      <c r="F62" s="15"/>
      <c r="G62" s="15"/>
      <c r="H62" s="15"/>
      <c r="I62" s="15"/>
      <c r="J62" s="15"/>
      <c r="K62" s="15"/>
      <c r="L62" s="5"/>
      <c r="M62" s="5"/>
      <c r="N62" s="5"/>
      <c r="O62" s="5"/>
      <c r="P62" s="4"/>
    </row>
    <row r="63" ht="15.75" customHeight="1">
      <c r="A63" s="31">
        <v>111242.0</v>
      </c>
      <c r="B63" s="32" t="s">
        <v>50</v>
      </c>
      <c r="C63" s="34">
        <f>SUM(D63:F63)</f>
        <v>3</v>
      </c>
      <c r="D63" s="34">
        <v>1.0</v>
      </c>
      <c r="E63" s="34">
        <v>2.0</v>
      </c>
      <c r="F63" s="34">
        <v>0.0</v>
      </c>
      <c r="G63" s="34">
        <f>C63*50</f>
        <v>150</v>
      </c>
      <c r="H63" s="34">
        <v>30.0</v>
      </c>
      <c r="I63" s="34">
        <v>30.0</v>
      </c>
      <c r="J63" s="53">
        <f>G63-SUM(H63:I63)</f>
        <v>90</v>
      </c>
      <c r="K63" s="28" t="s">
        <v>109</v>
      </c>
      <c r="L63" s="5"/>
      <c r="M63" s="5"/>
      <c r="N63" s="5"/>
      <c r="O63" s="5"/>
      <c r="P63" s="4"/>
    </row>
    <row r="64" ht="15.75" customHeight="1">
      <c r="A64" s="31">
        <v>111243.0</v>
      </c>
      <c r="B64" s="32" t="s">
        <v>89</v>
      </c>
      <c r="C64" s="13"/>
      <c r="D64" s="13"/>
      <c r="E64" s="13"/>
      <c r="F64" s="13"/>
      <c r="G64" s="13"/>
      <c r="H64" s="13"/>
      <c r="I64" s="13"/>
      <c r="J64" s="13"/>
      <c r="K64" s="28" t="s">
        <v>109</v>
      </c>
      <c r="L64" s="5"/>
      <c r="M64" s="5"/>
      <c r="N64" s="5"/>
      <c r="O64" s="5"/>
      <c r="P64" s="4"/>
    </row>
    <row r="65" ht="15.75" customHeight="1">
      <c r="A65" s="25" t="s">
        <v>84</v>
      </c>
      <c r="B65" s="11"/>
      <c r="C65" s="15"/>
      <c r="D65" s="15"/>
      <c r="E65" s="15"/>
      <c r="F65" s="15"/>
      <c r="G65" s="15"/>
      <c r="H65" s="15"/>
      <c r="I65" s="15"/>
      <c r="J65" s="15"/>
      <c r="K65" s="15"/>
      <c r="L65" s="5"/>
      <c r="M65" s="5"/>
      <c r="N65" s="5"/>
      <c r="O65" s="5"/>
      <c r="P65" s="4"/>
    </row>
    <row r="66" ht="15.75" customHeight="1">
      <c r="A66" s="35">
        <v>111244.0</v>
      </c>
      <c r="B66" s="32" t="s">
        <v>51</v>
      </c>
      <c r="C66" s="33">
        <f>SUM(D66:F66)</f>
        <v>3</v>
      </c>
      <c r="D66" s="33">
        <v>1.0</v>
      </c>
      <c r="E66" s="33">
        <v>2.0</v>
      </c>
      <c r="F66" s="33">
        <v>0.0</v>
      </c>
      <c r="G66" s="33">
        <f>C66*50</f>
        <v>150</v>
      </c>
      <c r="H66" s="33">
        <v>15.0</v>
      </c>
      <c r="I66" s="33">
        <v>45.0</v>
      </c>
      <c r="J66" s="54">
        <f>G66-SUM(H66:I66)</f>
        <v>90</v>
      </c>
      <c r="K66" s="28" t="s">
        <v>109</v>
      </c>
      <c r="L66" s="5"/>
      <c r="M66" s="5"/>
      <c r="N66" s="5"/>
      <c r="O66" s="5"/>
      <c r="P66" s="4"/>
    </row>
    <row r="67" ht="15.75" customHeight="1">
      <c r="A67" s="17">
        <v>111186.0</v>
      </c>
      <c r="B67" s="18" t="s">
        <v>90</v>
      </c>
      <c r="C67" s="13"/>
      <c r="D67" s="13"/>
      <c r="E67" s="13"/>
      <c r="F67" s="13"/>
      <c r="G67" s="13"/>
      <c r="H67" s="13"/>
      <c r="I67" s="13"/>
      <c r="J67" s="13"/>
      <c r="K67" s="28"/>
      <c r="L67" s="5"/>
      <c r="M67" s="5"/>
      <c r="N67" s="5"/>
      <c r="O67" s="5"/>
      <c r="P67" s="4"/>
    </row>
    <row r="68" ht="15.75" customHeight="1">
      <c r="A68" s="25" t="s">
        <v>91</v>
      </c>
      <c r="B68" s="11"/>
      <c r="C68" s="22">
        <f t="shared" ref="C68:J68" si="26">SUBTOTAL(9,C58:C67)</f>
        <v>18</v>
      </c>
      <c r="D68" s="22">
        <f t="shared" si="26"/>
        <v>7</v>
      </c>
      <c r="E68" s="22">
        <f t="shared" si="26"/>
        <v>10</v>
      </c>
      <c r="F68" s="22">
        <f t="shared" si="26"/>
        <v>1</v>
      </c>
      <c r="G68" s="22">
        <f t="shared" si="26"/>
        <v>900</v>
      </c>
      <c r="H68" s="22">
        <f t="shared" si="26"/>
        <v>150</v>
      </c>
      <c r="I68" s="22">
        <f t="shared" si="26"/>
        <v>195</v>
      </c>
      <c r="J68" s="22">
        <f t="shared" si="26"/>
        <v>555</v>
      </c>
      <c r="K68" s="28">
        <f>SUM(H68:I68)</f>
        <v>345</v>
      </c>
      <c r="L68" s="4"/>
      <c r="M68" s="4"/>
      <c r="N68" s="4"/>
      <c r="O68" s="4"/>
      <c r="P68" s="4"/>
    </row>
    <row r="69" ht="15.75" customHeight="1">
      <c r="A69" s="36">
        <v>199005.0</v>
      </c>
      <c r="B69" s="37" t="s">
        <v>92</v>
      </c>
      <c r="C69" s="19">
        <f t="shared" ref="C69:C72" si="27">SUM(D69:F69)</f>
        <v>3</v>
      </c>
      <c r="D69" s="19">
        <v>1.0</v>
      </c>
      <c r="E69" s="19">
        <v>2.0</v>
      </c>
      <c r="F69" s="15"/>
      <c r="G69" s="19">
        <f t="shared" ref="G69:G72" si="28">C69*50</f>
        <v>150</v>
      </c>
      <c r="H69" s="19">
        <v>15.0</v>
      </c>
      <c r="I69" s="19">
        <v>45.0</v>
      </c>
      <c r="J69" s="20">
        <f t="shared" ref="J69:J72" si="29">G69-SUM(H69:I69)</f>
        <v>90</v>
      </c>
      <c r="K69" s="55"/>
      <c r="L69" s="4"/>
      <c r="M69" s="4"/>
      <c r="N69" s="4"/>
      <c r="O69" s="4"/>
      <c r="P69" s="4"/>
    </row>
    <row r="70" ht="15.75" customHeight="1">
      <c r="A70" s="36">
        <v>199006.0</v>
      </c>
      <c r="B70" s="37" t="s">
        <v>93</v>
      </c>
      <c r="C70" s="19">
        <f t="shared" si="27"/>
        <v>3</v>
      </c>
      <c r="D70" s="19">
        <v>1.0</v>
      </c>
      <c r="E70" s="19">
        <v>2.0</v>
      </c>
      <c r="F70" s="19">
        <v>0.0</v>
      </c>
      <c r="G70" s="19">
        <f t="shared" si="28"/>
        <v>150</v>
      </c>
      <c r="H70" s="19">
        <v>15.0</v>
      </c>
      <c r="I70" s="19">
        <v>45.0</v>
      </c>
      <c r="J70" s="20">
        <f t="shared" si="29"/>
        <v>90</v>
      </c>
      <c r="K70" s="13"/>
      <c r="L70" s="4"/>
      <c r="M70" s="4"/>
      <c r="N70" s="4"/>
      <c r="O70" s="4"/>
      <c r="P70" s="4"/>
    </row>
    <row r="71" ht="15.75" customHeight="1">
      <c r="A71" s="35">
        <v>111245.0</v>
      </c>
      <c r="B71" s="38" t="s">
        <v>94</v>
      </c>
      <c r="C71" s="35">
        <f t="shared" si="27"/>
        <v>3</v>
      </c>
      <c r="D71" s="35">
        <v>1.0</v>
      </c>
      <c r="E71" s="35">
        <v>2.0</v>
      </c>
      <c r="F71" s="35">
        <v>0.0</v>
      </c>
      <c r="G71" s="35">
        <f t="shared" si="28"/>
        <v>150</v>
      </c>
      <c r="H71" s="35">
        <v>30.0</v>
      </c>
      <c r="I71" s="35">
        <v>30.0</v>
      </c>
      <c r="J71" s="56">
        <f t="shared" si="29"/>
        <v>90</v>
      </c>
      <c r="K71" s="28" t="s">
        <v>109</v>
      </c>
      <c r="L71" s="4"/>
      <c r="M71" s="4"/>
      <c r="N71" s="4"/>
      <c r="O71" s="4"/>
      <c r="P71" s="4"/>
    </row>
    <row r="72" ht="15.75" customHeight="1">
      <c r="A72" s="17">
        <v>111188.0</v>
      </c>
      <c r="B72" s="18" t="s">
        <v>46</v>
      </c>
      <c r="C72" s="19">
        <f t="shared" si="27"/>
        <v>3</v>
      </c>
      <c r="D72" s="19">
        <v>1.0</v>
      </c>
      <c r="E72" s="19">
        <v>2.0</v>
      </c>
      <c r="F72" s="15"/>
      <c r="G72" s="19">
        <f t="shared" si="28"/>
        <v>150</v>
      </c>
      <c r="H72" s="19">
        <v>15.0</v>
      </c>
      <c r="I72" s="19">
        <v>30.0</v>
      </c>
      <c r="J72" s="20">
        <f t="shared" si="29"/>
        <v>105</v>
      </c>
      <c r="K72" s="28"/>
      <c r="L72" s="4"/>
      <c r="M72" s="4"/>
      <c r="N72" s="4"/>
      <c r="O72" s="4"/>
      <c r="P72" s="4"/>
    </row>
    <row r="73" ht="15.75" customHeight="1">
      <c r="A73" s="25" t="s">
        <v>84</v>
      </c>
      <c r="B73" s="11"/>
      <c r="C73" s="15"/>
      <c r="D73" s="15"/>
      <c r="E73" s="15"/>
      <c r="F73" s="15"/>
      <c r="G73" s="15"/>
      <c r="H73" s="15"/>
      <c r="I73" s="15"/>
      <c r="J73" s="15"/>
      <c r="K73" s="55"/>
      <c r="L73" s="4"/>
      <c r="M73" s="4"/>
      <c r="N73" s="4"/>
      <c r="O73" s="4"/>
      <c r="P73" s="4"/>
    </row>
    <row r="74" ht="15.75" customHeight="1">
      <c r="A74" s="57">
        <v>111189.0</v>
      </c>
      <c r="B74" s="58" t="s">
        <v>110</v>
      </c>
      <c r="C74" s="33">
        <v>3.0</v>
      </c>
      <c r="D74" s="33">
        <v>1.0</v>
      </c>
      <c r="E74" s="33">
        <v>2.0</v>
      </c>
      <c r="F74" s="41"/>
      <c r="G74" s="33">
        <f>C74*50</f>
        <v>150</v>
      </c>
      <c r="H74" s="33">
        <v>15.0</v>
      </c>
      <c r="I74" s="33">
        <v>45.0</v>
      </c>
      <c r="J74" s="54">
        <f>G74-SUM(H74:I74)</f>
        <v>90</v>
      </c>
      <c r="K74" s="13"/>
      <c r="L74" s="4"/>
      <c r="M74" s="4"/>
      <c r="N74" s="4"/>
      <c r="O74" s="4"/>
      <c r="P74" s="4"/>
    </row>
    <row r="75" ht="15.75" customHeight="1">
      <c r="A75" s="39">
        <v>199007.0</v>
      </c>
      <c r="B75" s="59" t="s">
        <v>31</v>
      </c>
      <c r="C75" s="13"/>
      <c r="D75" s="13"/>
      <c r="E75" s="13"/>
      <c r="F75" s="13"/>
      <c r="G75" s="13"/>
      <c r="H75" s="13"/>
      <c r="I75" s="13"/>
      <c r="J75" s="13"/>
      <c r="K75" s="15"/>
      <c r="L75" s="4"/>
      <c r="M75" s="4"/>
      <c r="N75" s="4"/>
      <c r="O75" s="4"/>
      <c r="P75" s="4"/>
    </row>
    <row r="76" ht="15.75" customHeight="1">
      <c r="A76" s="25" t="s">
        <v>84</v>
      </c>
      <c r="B76" s="11"/>
      <c r="C76" s="15"/>
      <c r="D76" s="15"/>
      <c r="E76" s="15"/>
      <c r="F76" s="15"/>
      <c r="G76" s="15"/>
      <c r="H76" s="15"/>
      <c r="I76" s="15"/>
      <c r="J76" s="20">
        <f>G76-SUM(H76:I76)</f>
        <v>0</v>
      </c>
      <c r="K76" s="55"/>
      <c r="L76" s="4"/>
      <c r="M76" s="4"/>
      <c r="N76" s="4"/>
      <c r="O76" s="4"/>
      <c r="P76" s="4"/>
    </row>
    <row r="77" ht="15.75" customHeight="1">
      <c r="A77" s="60">
        <v>111246.0</v>
      </c>
      <c r="B77" s="58" t="s">
        <v>111</v>
      </c>
      <c r="C77" s="34">
        <f>SUM(D77:F78)</f>
        <v>3</v>
      </c>
      <c r="D77" s="34">
        <v>2.0</v>
      </c>
      <c r="E77" s="34">
        <v>0.0</v>
      </c>
      <c r="F77" s="34">
        <v>1.0</v>
      </c>
      <c r="G77" s="34">
        <f>C77*50</f>
        <v>150</v>
      </c>
      <c r="H77" s="34">
        <v>45.0</v>
      </c>
      <c r="I77" s="61">
        <v>0.0</v>
      </c>
      <c r="J77" s="53">
        <f>G77-H77-I77</f>
        <v>105</v>
      </c>
      <c r="K77" s="15"/>
      <c r="L77" s="4"/>
      <c r="M77" s="4"/>
      <c r="N77" s="4"/>
      <c r="O77" s="4"/>
      <c r="P77" s="4"/>
    </row>
    <row r="78" ht="15.75" customHeight="1">
      <c r="A78" s="62">
        <v>199008.0</v>
      </c>
      <c r="B78" s="63" t="s">
        <v>96</v>
      </c>
      <c r="C78" s="43"/>
      <c r="D78" s="43"/>
      <c r="E78" s="43"/>
      <c r="F78" s="43"/>
      <c r="G78" s="43"/>
      <c r="H78" s="43"/>
      <c r="I78" s="43"/>
      <c r="J78" s="13"/>
      <c r="K78" s="28" t="s">
        <v>109</v>
      </c>
      <c r="L78" s="4"/>
      <c r="M78" s="4"/>
      <c r="N78" s="4"/>
      <c r="O78" s="4"/>
      <c r="P78" s="4"/>
    </row>
    <row r="79" ht="15.75" customHeight="1">
      <c r="A79" s="25" t="s">
        <v>98</v>
      </c>
      <c r="B79" s="11"/>
      <c r="C79" s="22">
        <f t="shared" ref="C79:J79" si="30">SUBTOTAL(9,C69:C78)</f>
        <v>18</v>
      </c>
      <c r="D79" s="22">
        <f t="shared" si="30"/>
        <v>7</v>
      </c>
      <c r="E79" s="22">
        <f t="shared" si="30"/>
        <v>10</v>
      </c>
      <c r="F79" s="22">
        <f t="shared" si="30"/>
        <v>1</v>
      </c>
      <c r="G79" s="22">
        <f t="shared" si="30"/>
        <v>900</v>
      </c>
      <c r="H79" s="22">
        <f t="shared" si="30"/>
        <v>135</v>
      </c>
      <c r="I79" s="22">
        <f t="shared" si="30"/>
        <v>195</v>
      </c>
      <c r="J79" s="22">
        <f t="shared" si="30"/>
        <v>570</v>
      </c>
      <c r="K79" s="28">
        <f>SUM(H79:I79)</f>
        <v>330</v>
      </c>
      <c r="L79" s="4"/>
      <c r="M79" s="4"/>
      <c r="N79" s="4"/>
      <c r="O79" s="4"/>
      <c r="P79" s="4"/>
    </row>
    <row r="80" ht="15.75" customHeight="1">
      <c r="A80" s="17">
        <v>111192.0</v>
      </c>
      <c r="B80" s="18" t="s">
        <v>99</v>
      </c>
      <c r="C80" s="19">
        <f t="shared" ref="C80:C81" si="31">SUM(D80:F80)</f>
        <v>6</v>
      </c>
      <c r="D80" s="44">
        <v>2.0</v>
      </c>
      <c r="E80" s="44">
        <v>2.0</v>
      </c>
      <c r="F80" s="44">
        <v>2.0</v>
      </c>
      <c r="G80" s="19">
        <f t="shared" ref="G80:G81" si="32">C80*50</f>
        <v>300</v>
      </c>
      <c r="H80" s="19">
        <v>60.0</v>
      </c>
      <c r="I80" s="19">
        <v>0.0</v>
      </c>
      <c r="J80" s="20">
        <f t="shared" ref="J80:J82" si="33">G80-SUM(H80:I80)</f>
        <v>240</v>
      </c>
      <c r="K80" s="28"/>
      <c r="L80" s="4"/>
      <c r="M80" s="4"/>
      <c r="N80" s="4"/>
      <c r="O80" s="4"/>
      <c r="P80" s="4"/>
    </row>
    <row r="81" ht="15.75" customHeight="1">
      <c r="A81" s="17">
        <v>111193.0</v>
      </c>
      <c r="B81" s="18" t="s">
        <v>100</v>
      </c>
      <c r="C81" s="19">
        <f t="shared" si="31"/>
        <v>8</v>
      </c>
      <c r="D81" s="44">
        <v>3.0</v>
      </c>
      <c r="E81" s="44">
        <v>2.0</v>
      </c>
      <c r="F81" s="44">
        <v>3.0</v>
      </c>
      <c r="G81" s="19">
        <f t="shared" si="32"/>
        <v>400</v>
      </c>
      <c r="H81" s="19">
        <v>120.0</v>
      </c>
      <c r="I81" s="19">
        <v>0.0</v>
      </c>
      <c r="J81" s="20">
        <f t="shared" si="33"/>
        <v>280</v>
      </c>
      <c r="K81" s="15"/>
      <c r="L81" s="4"/>
      <c r="M81" s="4"/>
      <c r="N81" s="4"/>
      <c r="O81" s="4"/>
      <c r="P81" s="4"/>
    </row>
    <row r="82" ht="15.75" customHeight="1">
      <c r="A82" s="25" t="s">
        <v>101</v>
      </c>
      <c r="B82" s="11"/>
      <c r="C82" s="22">
        <f t="shared" ref="C82:I82" si="34">SUBTOTAL(9,C80:C81)</f>
        <v>14</v>
      </c>
      <c r="D82" s="22">
        <f t="shared" si="34"/>
        <v>5</v>
      </c>
      <c r="E82" s="22">
        <f t="shared" si="34"/>
        <v>4</v>
      </c>
      <c r="F82" s="22">
        <f t="shared" si="34"/>
        <v>5</v>
      </c>
      <c r="G82" s="22">
        <f t="shared" si="34"/>
        <v>700</v>
      </c>
      <c r="H82" s="22">
        <f t="shared" si="34"/>
        <v>180</v>
      </c>
      <c r="I82" s="22">
        <f t="shared" si="34"/>
        <v>0</v>
      </c>
      <c r="J82" s="20">
        <f t="shared" si="33"/>
        <v>520</v>
      </c>
      <c r="K82" s="28">
        <f>SUM(H82:I82)</f>
        <v>180</v>
      </c>
      <c r="L82" s="4"/>
      <c r="M82" s="4"/>
      <c r="N82" s="4"/>
      <c r="O82" s="4"/>
      <c r="P82" s="4"/>
    </row>
    <row r="83" ht="15.75" customHeight="1">
      <c r="A83" s="45" t="s">
        <v>102</v>
      </c>
      <c r="B83" s="11"/>
      <c r="C83" s="22">
        <f t="shared" ref="C83:J83" si="35">SUM(C82,C79,C68,C57,C47,C38,C27,C18)</f>
        <v>154</v>
      </c>
      <c r="D83" s="22">
        <f t="shared" si="35"/>
        <v>71</v>
      </c>
      <c r="E83" s="22">
        <f t="shared" si="35"/>
        <v>68</v>
      </c>
      <c r="F83" s="22">
        <f t="shared" si="35"/>
        <v>15</v>
      </c>
      <c r="G83" s="22">
        <f t="shared" si="35"/>
        <v>7700</v>
      </c>
      <c r="H83" s="22">
        <f t="shared" si="35"/>
        <v>1410</v>
      </c>
      <c r="I83" s="22">
        <f t="shared" si="35"/>
        <v>1215</v>
      </c>
      <c r="J83" s="22">
        <f t="shared" si="35"/>
        <v>5075</v>
      </c>
      <c r="K83" s="46"/>
      <c r="L83" s="4"/>
      <c r="M83" s="4"/>
      <c r="N83" s="4"/>
      <c r="O83" s="4"/>
      <c r="P83" s="4"/>
    </row>
    <row r="84" ht="15.75" customHeight="1">
      <c r="A84" s="46"/>
      <c r="B84" s="46"/>
      <c r="C84" s="46"/>
      <c r="G84" s="46"/>
      <c r="H84" s="64">
        <f>H83+I83</f>
        <v>2625</v>
      </c>
      <c r="I84" s="46"/>
      <c r="J84" s="46"/>
      <c r="K84" s="46">
        <f>SUM(K79,K68,K57,K47,K38,K27,K18,K82)</f>
        <v>2625</v>
      </c>
      <c r="L84" s="4"/>
      <c r="M84" s="4"/>
      <c r="N84" s="4"/>
      <c r="O84" s="4"/>
      <c r="P84" s="4"/>
    </row>
    <row r="85" ht="15.75" customHeight="1">
      <c r="A85" s="5"/>
      <c r="B85" s="5"/>
      <c r="C85" s="5"/>
      <c r="K85" s="5"/>
      <c r="L85" s="4"/>
      <c r="M85" s="4"/>
      <c r="N85" s="4"/>
      <c r="O85" s="4"/>
      <c r="P85" s="4"/>
    </row>
    <row r="86" ht="15.75" customHeight="1">
      <c r="A86" s="47" t="s">
        <v>103</v>
      </c>
      <c r="C86" s="48" t="s">
        <v>104</v>
      </c>
      <c r="K86" s="5"/>
      <c r="L86" s="4"/>
      <c r="M86" s="4"/>
      <c r="N86" s="4"/>
      <c r="O86" s="4"/>
      <c r="P86" s="4"/>
    </row>
    <row r="87" ht="15.75" customHeight="1">
      <c r="A87" s="49" t="s">
        <v>105</v>
      </c>
      <c r="C87" s="5"/>
      <c r="D87" s="5"/>
      <c r="E87" s="5"/>
      <c r="F87" s="5"/>
      <c r="G87" s="5"/>
      <c r="H87" s="5"/>
      <c r="I87" s="5"/>
      <c r="J87" s="5"/>
      <c r="K87" s="5"/>
      <c r="L87" s="4"/>
      <c r="M87" s="4"/>
      <c r="N87" s="4"/>
      <c r="O87" s="4"/>
      <c r="P87" s="4"/>
    </row>
    <row r="88" ht="15.75" customHeight="1">
      <c r="A88" s="49" t="s">
        <v>106</v>
      </c>
      <c r="C88" s="5"/>
      <c r="D88" s="50"/>
      <c r="E88" s="50"/>
      <c r="F88" s="5"/>
      <c r="G88" s="5"/>
      <c r="H88" s="5"/>
      <c r="I88" s="5"/>
      <c r="J88" s="5"/>
      <c r="K88" s="5"/>
      <c r="L88" s="4"/>
      <c r="M88" s="4"/>
      <c r="N88" s="4"/>
      <c r="O88" s="4"/>
      <c r="P88" s="4"/>
    </row>
    <row r="89" ht="15.75" customHeight="1">
      <c r="A89" s="49" t="s">
        <v>107</v>
      </c>
      <c r="C89" s="5"/>
      <c r="D89" s="5"/>
      <c r="E89" s="5"/>
      <c r="F89" s="5"/>
      <c r="G89" s="5"/>
      <c r="H89" s="5"/>
      <c r="I89" s="5"/>
      <c r="J89" s="5"/>
      <c r="K89" s="5"/>
      <c r="L89" s="4"/>
      <c r="M89" s="4"/>
      <c r="N89" s="4"/>
      <c r="O89" s="4"/>
      <c r="P89" s="4"/>
    </row>
    <row r="90" ht="15.75" customHeight="1">
      <c r="A90" s="5"/>
      <c r="B90" s="5"/>
      <c r="C90" s="3" t="s">
        <v>108</v>
      </c>
      <c r="K90" s="5"/>
      <c r="L90" s="4"/>
      <c r="M90" s="4"/>
      <c r="N90" s="4"/>
      <c r="O90" s="4"/>
      <c r="P90" s="4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4"/>
      <c r="M91" s="4"/>
      <c r="N91" s="4"/>
      <c r="O91" s="4"/>
      <c r="P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</sheetData>
  <mergeCells count="78">
    <mergeCell ref="A57:B57"/>
    <mergeCell ref="A62:B62"/>
    <mergeCell ref="D63:D64"/>
    <mergeCell ref="E63:E64"/>
    <mergeCell ref="F63:F64"/>
    <mergeCell ref="G63:G64"/>
    <mergeCell ref="A65:B65"/>
    <mergeCell ref="C63:C64"/>
    <mergeCell ref="C66:C67"/>
    <mergeCell ref="D66:D67"/>
    <mergeCell ref="E66:E67"/>
    <mergeCell ref="F66:F67"/>
    <mergeCell ref="G66:G67"/>
    <mergeCell ref="H66:H67"/>
    <mergeCell ref="A68:B68"/>
    <mergeCell ref="C74:C75"/>
    <mergeCell ref="D74:D75"/>
    <mergeCell ref="E74:E75"/>
    <mergeCell ref="F74:F75"/>
    <mergeCell ref="G74:G75"/>
    <mergeCell ref="H74:H75"/>
    <mergeCell ref="A73:B73"/>
    <mergeCell ref="A76:B76"/>
    <mergeCell ref="C77:C78"/>
    <mergeCell ref="D77:D78"/>
    <mergeCell ref="E77:E78"/>
    <mergeCell ref="F77:F78"/>
    <mergeCell ref="G77:G78"/>
    <mergeCell ref="A87:B87"/>
    <mergeCell ref="A88:B88"/>
    <mergeCell ref="A89:B89"/>
    <mergeCell ref="C90:J90"/>
    <mergeCell ref="A79:B79"/>
    <mergeCell ref="A82:B82"/>
    <mergeCell ref="A83:B83"/>
    <mergeCell ref="C84:F84"/>
    <mergeCell ref="C85:J85"/>
    <mergeCell ref="A86:B86"/>
    <mergeCell ref="C86:J86"/>
    <mergeCell ref="A1:B1"/>
    <mergeCell ref="C1:J1"/>
    <mergeCell ref="A2:B2"/>
    <mergeCell ref="C2:J2"/>
    <mergeCell ref="C3:J3"/>
    <mergeCell ref="A4:J4"/>
    <mergeCell ref="A5:J5"/>
    <mergeCell ref="A7:A8"/>
    <mergeCell ref="C7:F7"/>
    <mergeCell ref="G7:G8"/>
    <mergeCell ref="H7:H8"/>
    <mergeCell ref="I7:I8"/>
    <mergeCell ref="J7:J8"/>
    <mergeCell ref="K7:K8"/>
    <mergeCell ref="D55:D56"/>
    <mergeCell ref="E55:E56"/>
    <mergeCell ref="F55:F56"/>
    <mergeCell ref="G55:G56"/>
    <mergeCell ref="H55:H56"/>
    <mergeCell ref="I55:I56"/>
    <mergeCell ref="B7:B8"/>
    <mergeCell ref="A18:B18"/>
    <mergeCell ref="A27:B27"/>
    <mergeCell ref="A38:B38"/>
    <mergeCell ref="A47:B47"/>
    <mergeCell ref="A54:B54"/>
    <mergeCell ref="C55:C56"/>
    <mergeCell ref="H63:H64"/>
    <mergeCell ref="I63:I64"/>
    <mergeCell ref="J63:J64"/>
    <mergeCell ref="I66:I67"/>
    <mergeCell ref="J66:J67"/>
    <mergeCell ref="K69:K70"/>
    <mergeCell ref="K73:K74"/>
    <mergeCell ref="I74:I75"/>
    <mergeCell ref="J74:J75"/>
    <mergeCell ref="H77:H78"/>
    <mergeCell ref="I77:I78"/>
    <mergeCell ref="J77:J7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38"/>
    <col customWidth="1" min="3" max="7" width="7.38"/>
    <col customWidth="1" min="8" max="11" width="12.63"/>
  </cols>
  <sheetData>
    <row r="1" ht="15.75" customHeight="1">
      <c r="A1" s="2" t="s">
        <v>1</v>
      </c>
      <c r="C1" s="3" t="s">
        <v>6</v>
      </c>
      <c r="H1" s="4"/>
      <c r="I1" s="4"/>
      <c r="J1" s="4"/>
      <c r="K1" s="4"/>
      <c r="L1" s="4"/>
    </row>
    <row r="2" ht="15.75" customHeight="1">
      <c r="A2" s="3" t="s">
        <v>11</v>
      </c>
      <c r="C2" s="6" t="s">
        <v>12</v>
      </c>
      <c r="H2" s="4"/>
      <c r="I2" s="4"/>
      <c r="J2" s="4"/>
      <c r="K2" s="4"/>
      <c r="L2" s="4"/>
    </row>
    <row r="3" ht="15.75" customHeight="1">
      <c r="A3" s="5"/>
      <c r="B3" s="5"/>
      <c r="C3" s="7" t="s">
        <v>15</v>
      </c>
      <c r="H3" s="4"/>
      <c r="I3" s="4"/>
      <c r="J3" s="4"/>
      <c r="K3" s="4"/>
      <c r="L3" s="4"/>
    </row>
    <row r="4" ht="15.75" customHeight="1">
      <c r="A4" s="6" t="s">
        <v>16</v>
      </c>
      <c r="H4" s="4"/>
      <c r="I4" s="4"/>
      <c r="J4" s="4"/>
      <c r="K4" s="4"/>
      <c r="L4" s="4"/>
    </row>
    <row r="5" ht="15.75" customHeight="1">
      <c r="A5" s="6" t="s">
        <v>20</v>
      </c>
      <c r="H5" s="4"/>
      <c r="I5" s="4"/>
      <c r="J5" s="4"/>
      <c r="K5" s="4"/>
      <c r="L5" s="4"/>
    </row>
    <row r="6" ht="15.75" customHeight="1">
      <c r="A6" s="5"/>
      <c r="B6" s="5"/>
      <c r="C6" s="5"/>
      <c r="D6" s="5"/>
      <c r="E6" s="5"/>
      <c r="F6" s="5"/>
      <c r="G6" s="5"/>
      <c r="H6" s="4"/>
      <c r="I6" s="4"/>
      <c r="J6" s="4"/>
      <c r="K6" s="4"/>
      <c r="L6" s="4"/>
    </row>
    <row r="7" ht="15.75" customHeight="1">
      <c r="A7" s="8" t="s">
        <v>24</v>
      </c>
      <c r="B7" s="8" t="s">
        <v>26</v>
      </c>
      <c r="C7" s="9" t="s">
        <v>28</v>
      </c>
      <c r="D7" s="10"/>
      <c r="E7" s="10"/>
      <c r="F7" s="11"/>
      <c r="G7" s="12"/>
      <c r="H7" s="4"/>
      <c r="I7" s="4"/>
      <c r="J7" s="4"/>
      <c r="K7" s="4"/>
      <c r="L7" s="4"/>
    </row>
    <row r="8" ht="57.0" customHeight="1">
      <c r="A8" s="13"/>
      <c r="B8" s="13"/>
      <c r="C8" s="12" t="s">
        <v>32</v>
      </c>
      <c r="D8" s="12" t="s">
        <v>35</v>
      </c>
      <c r="E8" s="12" t="s">
        <v>36</v>
      </c>
      <c r="F8" s="12" t="s">
        <v>37</v>
      </c>
      <c r="G8" s="12"/>
      <c r="H8" s="4"/>
      <c r="I8" s="4"/>
      <c r="J8" s="4"/>
      <c r="K8" s="4"/>
      <c r="L8" s="4"/>
    </row>
    <row r="9" ht="15.75" customHeight="1">
      <c r="A9" s="15"/>
      <c r="B9" s="16" t="s">
        <v>43</v>
      </c>
      <c r="C9" s="15"/>
      <c r="D9" s="15"/>
      <c r="E9" s="15"/>
      <c r="F9" s="15"/>
      <c r="G9" s="15"/>
      <c r="H9" s="4"/>
      <c r="I9" s="4"/>
      <c r="J9" s="4"/>
      <c r="K9" s="4"/>
      <c r="L9" s="4"/>
    </row>
    <row r="10" ht="15.75" customHeight="1">
      <c r="A10" s="17">
        <v>102002.0</v>
      </c>
      <c r="B10" s="18" t="s">
        <v>49</v>
      </c>
      <c r="C10" s="19">
        <v>0.0</v>
      </c>
      <c r="D10" s="15"/>
      <c r="E10" s="15"/>
      <c r="F10" s="15"/>
      <c r="G10" s="20">
        <v>15.0</v>
      </c>
      <c r="H10" s="4"/>
      <c r="I10" s="4"/>
      <c r="J10" s="4"/>
      <c r="K10" s="4"/>
      <c r="L10" s="4"/>
    </row>
    <row r="11" ht="15.75" customHeight="1">
      <c r="A11" s="17">
        <v>102113.0</v>
      </c>
      <c r="B11" s="21" t="s">
        <v>54</v>
      </c>
      <c r="C11" s="19">
        <f t="shared" ref="C11:C17" si="1">SUM(D11:F11)</f>
        <v>4</v>
      </c>
      <c r="D11" s="19">
        <v>2.0</v>
      </c>
      <c r="E11" s="19">
        <v>2.0</v>
      </c>
      <c r="F11" s="15"/>
      <c r="G11" s="20">
        <v>45.0</v>
      </c>
      <c r="H11" s="4"/>
      <c r="I11" s="4"/>
      <c r="J11" s="4"/>
      <c r="K11" s="4"/>
      <c r="L11" s="4"/>
    </row>
    <row r="12" ht="15.75" customHeight="1">
      <c r="A12" s="17">
        <v>102146.0</v>
      </c>
      <c r="B12" s="18" t="s">
        <v>56</v>
      </c>
      <c r="C12" s="19">
        <f t="shared" si="1"/>
        <v>2</v>
      </c>
      <c r="D12" s="19">
        <v>1.0</v>
      </c>
      <c r="E12" s="15"/>
      <c r="F12" s="19">
        <v>1.0</v>
      </c>
      <c r="G12" s="20">
        <v>45.0</v>
      </c>
      <c r="H12" s="4"/>
      <c r="I12" s="4"/>
      <c r="J12" s="4"/>
      <c r="K12" s="4"/>
      <c r="L12" s="4"/>
    </row>
    <row r="13" ht="15.75" customHeight="1">
      <c r="A13" s="17">
        <v>111154.0</v>
      </c>
      <c r="B13" s="18" t="s">
        <v>57</v>
      </c>
      <c r="C13" s="19">
        <f t="shared" si="1"/>
        <v>3</v>
      </c>
      <c r="D13" s="19">
        <v>3.0</v>
      </c>
      <c r="E13" s="15"/>
      <c r="F13" s="19">
        <v>0.0</v>
      </c>
      <c r="G13" s="20">
        <v>45.0</v>
      </c>
      <c r="H13" s="4"/>
      <c r="I13" s="4"/>
      <c r="J13" s="4"/>
      <c r="K13" s="4"/>
      <c r="L13" s="4"/>
    </row>
    <row r="14" ht="15.75" customHeight="1">
      <c r="A14" s="17">
        <v>111155.0</v>
      </c>
      <c r="B14" s="18" t="s">
        <v>8</v>
      </c>
      <c r="C14" s="19">
        <f t="shared" si="1"/>
        <v>3</v>
      </c>
      <c r="D14" s="19">
        <v>1.0</v>
      </c>
      <c r="E14" s="19">
        <v>2.0</v>
      </c>
      <c r="F14" s="19">
        <v>0.0</v>
      </c>
      <c r="G14" s="20">
        <v>60.0</v>
      </c>
      <c r="H14" s="4"/>
      <c r="I14" s="4"/>
      <c r="J14" s="4"/>
      <c r="K14" s="4"/>
      <c r="L14" s="4"/>
    </row>
    <row r="15" ht="15.75" customHeight="1">
      <c r="A15" s="17">
        <v>111156.0</v>
      </c>
      <c r="B15" s="18" t="s">
        <v>59</v>
      </c>
      <c r="C15" s="19">
        <f t="shared" si="1"/>
        <v>3</v>
      </c>
      <c r="D15" s="19">
        <v>1.0</v>
      </c>
      <c r="E15" s="19">
        <v>1.0</v>
      </c>
      <c r="F15" s="19">
        <v>1.0</v>
      </c>
      <c r="G15" s="20">
        <v>45.0</v>
      </c>
      <c r="H15" s="4"/>
      <c r="I15" s="4"/>
      <c r="J15" s="4"/>
      <c r="K15" s="4"/>
      <c r="L15" s="4"/>
    </row>
    <row r="16" ht="15.75" customHeight="1">
      <c r="A16" s="17">
        <v>111157.0</v>
      </c>
      <c r="B16" s="18" t="s">
        <v>60</v>
      </c>
      <c r="C16" s="19">
        <f t="shared" si="1"/>
        <v>3</v>
      </c>
      <c r="D16" s="19">
        <v>1.0</v>
      </c>
      <c r="E16" s="19">
        <v>2.0</v>
      </c>
      <c r="F16" s="19">
        <v>0.0</v>
      </c>
      <c r="G16" s="20">
        <v>60.0</v>
      </c>
      <c r="H16" s="4"/>
      <c r="I16" s="4"/>
      <c r="J16" s="4"/>
      <c r="K16" s="4"/>
      <c r="L16" s="4"/>
    </row>
    <row r="17" ht="15.75" customHeight="1">
      <c r="A17" s="17">
        <v>111158.0</v>
      </c>
      <c r="B17" s="24" t="s">
        <v>61</v>
      </c>
      <c r="C17" s="19">
        <f t="shared" si="1"/>
        <v>2</v>
      </c>
      <c r="D17" s="19">
        <v>0.0</v>
      </c>
      <c r="E17" s="19">
        <v>2.0</v>
      </c>
      <c r="F17" s="15"/>
      <c r="G17" s="20">
        <v>30.0</v>
      </c>
      <c r="H17" s="4"/>
      <c r="I17" s="4"/>
      <c r="J17" s="4"/>
      <c r="K17" s="4"/>
      <c r="L17" s="4"/>
    </row>
    <row r="18" ht="15.75" customHeight="1">
      <c r="A18" s="25" t="s">
        <v>62</v>
      </c>
      <c r="B18" s="11"/>
      <c r="C18" s="22">
        <f t="shared" ref="C18:F18" si="2">SUBTOTAL(9,C11:C17)</f>
        <v>20</v>
      </c>
      <c r="D18" s="22">
        <f t="shared" si="2"/>
        <v>9</v>
      </c>
      <c r="E18" s="22">
        <f t="shared" si="2"/>
        <v>9</v>
      </c>
      <c r="F18" s="22">
        <f t="shared" si="2"/>
        <v>2</v>
      </c>
      <c r="G18" s="20">
        <v>330.0</v>
      </c>
      <c r="H18" s="4"/>
      <c r="I18" s="4"/>
      <c r="J18" s="4"/>
      <c r="K18" s="4"/>
      <c r="L18" s="4"/>
    </row>
    <row r="19" ht="15.75" customHeight="1">
      <c r="A19" s="17">
        <v>102003.0</v>
      </c>
      <c r="B19" s="18" t="s">
        <v>63</v>
      </c>
      <c r="C19" s="19">
        <f t="shared" ref="C19:C26" si="3">SUM(D19:F19)</f>
        <v>0</v>
      </c>
      <c r="D19" s="15"/>
      <c r="E19" s="15"/>
      <c r="F19" s="15"/>
      <c r="G19" s="20">
        <v>15.0</v>
      </c>
      <c r="H19" s="5"/>
      <c r="I19" s="5"/>
      <c r="J19" s="5"/>
      <c r="K19" s="5"/>
      <c r="L19" s="4"/>
    </row>
    <row r="20" ht="15.75" customHeight="1">
      <c r="A20" s="17">
        <v>102087.0</v>
      </c>
      <c r="B20" s="18" t="s">
        <v>64</v>
      </c>
      <c r="C20" s="19">
        <f t="shared" si="3"/>
        <v>2</v>
      </c>
      <c r="D20" s="19">
        <v>2.0</v>
      </c>
      <c r="E20" s="19">
        <v>0.0</v>
      </c>
      <c r="F20" s="15"/>
      <c r="G20" s="20">
        <v>30.0</v>
      </c>
      <c r="H20" s="5"/>
      <c r="I20" s="5"/>
      <c r="J20" s="5"/>
      <c r="K20" s="5"/>
      <c r="L20" s="4"/>
    </row>
    <row r="21" ht="15.75" customHeight="1">
      <c r="A21" s="17">
        <v>102147.0</v>
      </c>
      <c r="B21" s="18" t="s">
        <v>65</v>
      </c>
      <c r="C21" s="19">
        <f t="shared" si="3"/>
        <v>2</v>
      </c>
      <c r="D21" s="19">
        <v>1.0</v>
      </c>
      <c r="E21" s="15"/>
      <c r="F21" s="19">
        <v>1.0</v>
      </c>
      <c r="G21" s="20">
        <v>45.0</v>
      </c>
      <c r="H21" s="5"/>
      <c r="I21" s="5"/>
      <c r="J21" s="5"/>
      <c r="K21" s="5"/>
      <c r="L21" s="4"/>
    </row>
    <row r="22" ht="15.75" customHeight="1">
      <c r="A22" s="17">
        <v>102112.0</v>
      </c>
      <c r="B22" s="26" t="s">
        <v>66</v>
      </c>
      <c r="C22" s="19">
        <f t="shared" si="3"/>
        <v>3</v>
      </c>
      <c r="D22" s="19">
        <v>0.0</v>
      </c>
      <c r="E22" s="19">
        <v>3.0</v>
      </c>
      <c r="F22" s="15"/>
      <c r="G22" s="20">
        <v>60.0</v>
      </c>
      <c r="H22" s="5"/>
      <c r="I22" s="5"/>
      <c r="J22" s="5"/>
      <c r="K22" s="5"/>
      <c r="L22" s="4"/>
    </row>
    <row r="23" ht="15.75" customHeight="1">
      <c r="A23" s="17">
        <v>111159.0</v>
      </c>
      <c r="B23" s="24" t="s">
        <v>25</v>
      </c>
      <c r="C23" s="19">
        <f t="shared" si="3"/>
        <v>3</v>
      </c>
      <c r="D23" s="19">
        <v>1.0</v>
      </c>
      <c r="E23" s="19">
        <v>2.0</v>
      </c>
      <c r="F23" s="15"/>
      <c r="G23" s="20">
        <v>45.0</v>
      </c>
      <c r="H23" s="5"/>
      <c r="I23" s="5"/>
      <c r="J23" s="5"/>
      <c r="K23" s="5"/>
      <c r="L23" s="4"/>
    </row>
    <row r="24" ht="15.75" customHeight="1">
      <c r="A24" s="17">
        <v>111174.0</v>
      </c>
      <c r="B24" s="18" t="s">
        <v>67</v>
      </c>
      <c r="C24" s="17">
        <f t="shared" si="3"/>
        <v>3</v>
      </c>
      <c r="D24" s="17">
        <v>3.0</v>
      </c>
      <c r="E24" s="27"/>
      <c r="F24" s="27"/>
      <c r="G24" s="20">
        <v>45.0</v>
      </c>
      <c r="H24" s="5"/>
      <c r="I24" s="5"/>
      <c r="J24" s="5"/>
      <c r="K24" s="5"/>
      <c r="L24" s="4"/>
    </row>
    <row r="25" ht="15.75" customHeight="1">
      <c r="A25" s="17">
        <v>111161.0</v>
      </c>
      <c r="B25" s="18" t="s">
        <v>10</v>
      </c>
      <c r="C25" s="19">
        <f t="shared" si="3"/>
        <v>3</v>
      </c>
      <c r="D25" s="19">
        <v>1.0</v>
      </c>
      <c r="E25" s="19">
        <v>2.0</v>
      </c>
      <c r="F25" s="15"/>
      <c r="G25" s="20">
        <v>60.0</v>
      </c>
      <c r="H25" s="5"/>
      <c r="I25" s="5"/>
      <c r="J25" s="5"/>
      <c r="K25" s="5"/>
      <c r="L25" s="4"/>
    </row>
    <row r="26" ht="15.75" customHeight="1">
      <c r="A26" s="17">
        <v>111162.0</v>
      </c>
      <c r="B26" s="18" t="s">
        <v>68</v>
      </c>
      <c r="C26" s="19">
        <f t="shared" si="3"/>
        <v>3</v>
      </c>
      <c r="D26" s="19">
        <v>1.0</v>
      </c>
      <c r="E26" s="19">
        <v>1.0</v>
      </c>
      <c r="F26" s="19">
        <v>1.0</v>
      </c>
      <c r="G26" s="20">
        <v>60.0</v>
      </c>
      <c r="H26" s="5"/>
      <c r="I26" s="5"/>
      <c r="J26" s="5"/>
      <c r="K26" s="5"/>
      <c r="L26" s="4"/>
    </row>
    <row r="27" ht="15.75" customHeight="1">
      <c r="A27" s="25" t="s">
        <v>69</v>
      </c>
      <c r="B27" s="11"/>
      <c r="C27" s="22">
        <f t="shared" ref="C27:F27" si="4">SUBTOTAL(9,C20:C26)</f>
        <v>19</v>
      </c>
      <c r="D27" s="22">
        <f t="shared" si="4"/>
        <v>9</v>
      </c>
      <c r="E27" s="22">
        <f t="shared" si="4"/>
        <v>8</v>
      </c>
      <c r="F27" s="22">
        <f t="shared" si="4"/>
        <v>2</v>
      </c>
      <c r="G27" s="20">
        <v>345.0</v>
      </c>
      <c r="H27" s="4"/>
      <c r="I27" s="4"/>
      <c r="J27" s="4"/>
      <c r="K27" s="4"/>
      <c r="L27" s="4"/>
    </row>
    <row r="28" ht="15.75" customHeight="1">
      <c r="A28" s="17">
        <v>102004.0</v>
      </c>
      <c r="B28" s="18" t="s">
        <v>70</v>
      </c>
      <c r="C28" s="19">
        <f t="shared" ref="C28:C35" si="5">SUM(D28:F28)</f>
        <v>0</v>
      </c>
      <c r="D28" s="15"/>
      <c r="E28" s="15"/>
      <c r="F28" s="15"/>
      <c r="G28" s="20">
        <v>15.0</v>
      </c>
      <c r="H28" s="4"/>
      <c r="I28" s="4"/>
      <c r="J28" s="4"/>
      <c r="K28" s="4"/>
      <c r="L28" s="4"/>
    </row>
    <row r="29" ht="15.75" customHeight="1">
      <c r="A29" s="17">
        <v>102063.0</v>
      </c>
      <c r="B29" s="18" t="s">
        <v>71</v>
      </c>
      <c r="C29" s="19">
        <f t="shared" si="5"/>
        <v>3</v>
      </c>
      <c r="D29" s="19">
        <v>3.0</v>
      </c>
      <c r="E29" s="15"/>
      <c r="F29" s="15"/>
      <c r="G29" s="20">
        <v>15.0</v>
      </c>
      <c r="H29" s="4"/>
      <c r="I29" s="4"/>
      <c r="J29" s="4"/>
      <c r="K29" s="4"/>
      <c r="L29" s="4"/>
    </row>
    <row r="30" ht="15.75" customHeight="1">
      <c r="A30" s="17">
        <v>102064.0</v>
      </c>
      <c r="B30" s="18" t="s">
        <v>72</v>
      </c>
      <c r="C30" s="19">
        <f t="shared" si="5"/>
        <v>2</v>
      </c>
      <c r="D30" s="19">
        <v>2.0</v>
      </c>
      <c r="E30" s="15"/>
      <c r="F30" s="15"/>
      <c r="G30" s="20">
        <v>15.0</v>
      </c>
      <c r="H30" s="4"/>
      <c r="I30" s="4"/>
      <c r="J30" s="4"/>
      <c r="K30" s="4"/>
      <c r="L30" s="4"/>
    </row>
    <row r="31" ht="15.75" customHeight="1">
      <c r="A31" s="17">
        <v>102065.0</v>
      </c>
      <c r="B31" s="18" t="s">
        <v>73</v>
      </c>
      <c r="C31" s="19">
        <f t="shared" si="5"/>
        <v>2</v>
      </c>
      <c r="D31" s="19">
        <v>2.0</v>
      </c>
      <c r="E31" s="15"/>
      <c r="F31" s="15"/>
      <c r="G31" s="20">
        <v>15.0</v>
      </c>
      <c r="H31" s="4"/>
      <c r="I31" s="4"/>
      <c r="J31" s="4"/>
      <c r="K31" s="4"/>
      <c r="L31" s="4"/>
    </row>
    <row r="32" ht="15.75" customHeight="1">
      <c r="A32" s="17">
        <v>102148.0</v>
      </c>
      <c r="B32" s="18" t="s">
        <v>74</v>
      </c>
      <c r="C32" s="19">
        <f t="shared" si="5"/>
        <v>2</v>
      </c>
      <c r="D32" s="19">
        <v>1.0</v>
      </c>
      <c r="E32" s="15"/>
      <c r="F32" s="19">
        <v>1.0</v>
      </c>
      <c r="G32" s="20">
        <v>45.0</v>
      </c>
      <c r="H32" s="4"/>
      <c r="I32" s="4"/>
      <c r="J32" s="4"/>
      <c r="K32" s="4"/>
      <c r="L32" s="4"/>
    </row>
    <row r="33" ht="15.75" customHeight="1">
      <c r="A33" s="17">
        <v>111160.0</v>
      </c>
      <c r="B33" s="18" t="s">
        <v>34</v>
      </c>
      <c r="C33" s="17">
        <f t="shared" si="5"/>
        <v>3</v>
      </c>
      <c r="D33" s="17">
        <v>1.0</v>
      </c>
      <c r="E33" s="17">
        <v>2.0</v>
      </c>
      <c r="F33" s="27"/>
      <c r="G33" s="29">
        <v>60.0</v>
      </c>
      <c r="H33" s="4"/>
      <c r="I33" s="4"/>
      <c r="J33" s="4"/>
      <c r="K33" s="4"/>
      <c r="L33" s="4"/>
    </row>
    <row r="34" ht="15.75" customHeight="1">
      <c r="A34" s="17">
        <v>111163.0</v>
      </c>
      <c r="B34" s="18" t="s">
        <v>75</v>
      </c>
      <c r="C34" s="17">
        <f t="shared" si="5"/>
        <v>2</v>
      </c>
      <c r="D34" s="17">
        <v>1.0</v>
      </c>
      <c r="E34" s="17">
        <v>1.0</v>
      </c>
      <c r="F34" s="27"/>
      <c r="G34" s="29">
        <v>30.0</v>
      </c>
      <c r="H34" s="4"/>
      <c r="I34" s="4"/>
      <c r="J34" s="4"/>
      <c r="K34" s="4"/>
      <c r="L34" s="4"/>
    </row>
    <row r="35" ht="15.75" customHeight="1">
      <c r="A35" s="17">
        <v>111164.0</v>
      </c>
      <c r="B35" s="18" t="s">
        <v>17</v>
      </c>
      <c r="C35" s="17">
        <f t="shared" si="5"/>
        <v>3</v>
      </c>
      <c r="D35" s="17">
        <v>1.0</v>
      </c>
      <c r="E35" s="17">
        <v>2.0</v>
      </c>
      <c r="F35" s="27"/>
      <c r="G35" s="29">
        <v>60.0</v>
      </c>
      <c r="H35" s="4"/>
      <c r="I35" s="4"/>
      <c r="J35" s="4"/>
      <c r="K35" s="4"/>
      <c r="L35" s="4"/>
    </row>
    <row r="36" ht="15.75" customHeight="1">
      <c r="A36" s="17">
        <v>111166.0</v>
      </c>
      <c r="B36" s="18" t="s">
        <v>47</v>
      </c>
      <c r="C36" s="19">
        <v>3.0</v>
      </c>
      <c r="D36" s="19">
        <v>1.0</v>
      </c>
      <c r="E36" s="19">
        <v>2.0</v>
      </c>
      <c r="F36" s="19">
        <v>0.0</v>
      </c>
      <c r="G36" s="20">
        <v>60.0</v>
      </c>
      <c r="H36" s="4"/>
      <c r="I36" s="4"/>
      <c r="J36" s="4"/>
      <c r="K36" s="4"/>
      <c r="L36" s="4"/>
    </row>
    <row r="37" ht="15.75" customHeight="1">
      <c r="A37" s="17">
        <v>111167.0</v>
      </c>
      <c r="B37" s="18" t="s">
        <v>13</v>
      </c>
      <c r="C37" s="17">
        <f>SUM(D37:F37)</f>
        <v>3</v>
      </c>
      <c r="D37" s="17">
        <v>1.0</v>
      </c>
      <c r="E37" s="17">
        <v>2.0</v>
      </c>
      <c r="F37" s="17">
        <v>0.0</v>
      </c>
      <c r="G37" s="29">
        <v>60.0</v>
      </c>
      <c r="H37" s="4"/>
      <c r="I37" s="4"/>
      <c r="J37" s="4"/>
      <c r="K37" s="4"/>
      <c r="L37" s="4"/>
    </row>
    <row r="38" ht="15.75" customHeight="1">
      <c r="A38" s="25" t="s">
        <v>76</v>
      </c>
      <c r="B38" s="11"/>
      <c r="C38" s="22">
        <f t="shared" ref="C38:F38" si="6">SUBTOTAL(9,C29:C37)</f>
        <v>23</v>
      </c>
      <c r="D38" s="22">
        <f t="shared" si="6"/>
        <v>13</v>
      </c>
      <c r="E38" s="22">
        <f t="shared" si="6"/>
        <v>9</v>
      </c>
      <c r="F38" s="22">
        <f t="shared" si="6"/>
        <v>1</v>
      </c>
      <c r="G38" s="20">
        <v>360.0</v>
      </c>
      <c r="H38" s="4"/>
      <c r="I38" s="4"/>
      <c r="J38" s="4"/>
      <c r="K38" s="4"/>
      <c r="L38" s="4"/>
    </row>
    <row r="39" ht="15.75" customHeight="1">
      <c r="A39" s="17">
        <v>102033.0</v>
      </c>
      <c r="B39" s="18" t="s">
        <v>77</v>
      </c>
      <c r="C39" s="19">
        <f>SUM(D39:F39)</f>
        <v>2</v>
      </c>
      <c r="D39" s="19">
        <v>2.0</v>
      </c>
      <c r="E39" s="15"/>
      <c r="F39" s="15"/>
      <c r="G39" s="20">
        <v>15.0</v>
      </c>
      <c r="H39" s="5"/>
      <c r="I39" s="5"/>
      <c r="J39" s="5"/>
      <c r="K39" s="5"/>
      <c r="L39" s="4"/>
    </row>
    <row r="40" ht="15.75" customHeight="1">
      <c r="A40" s="17">
        <v>102006.0</v>
      </c>
      <c r="B40" s="18" t="s">
        <v>78</v>
      </c>
      <c r="C40" s="19">
        <v>2.0</v>
      </c>
      <c r="D40" s="19">
        <v>2.0</v>
      </c>
      <c r="E40" s="19">
        <v>0.0</v>
      </c>
      <c r="F40" s="15"/>
      <c r="G40" s="20">
        <v>30.0</v>
      </c>
      <c r="H40" s="5"/>
      <c r="I40" s="5"/>
      <c r="J40" s="5"/>
      <c r="K40" s="5"/>
      <c r="L40" s="4"/>
    </row>
    <row r="41" ht="15.75" customHeight="1">
      <c r="A41" s="17">
        <v>102149.0</v>
      </c>
      <c r="B41" s="18" t="s">
        <v>79</v>
      </c>
      <c r="C41" s="19">
        <f t="shared" ref="C41:C42" si="7">SUM(D41:F41)</f>
        <v>3</v>
      </c>
      <c r="D41" s="19">
        <v>2.0</v>
      </c>
      <c r="E41" s="15"/>
      <c r="F41" s="19">
        <v>1.0</v>
      </c>
      <c r="G41" s="20">
        <v>60.0</v>
      </c>
      <c r="H41" s="5"/>
      <c r="I41" s="5"/>
      <c r="J41" s="5"/>
      <c r="K41" s="5"/>
      <c r="L41" s="4"/>
    </row>
    <row r="42" ht="15.75" customHeight="1">
      <c r="A42" s="17">
        <v>111165.0</v>
      </c>
      <c r="B42" s="18" t="s">
        <v>38</v>
      </c>
      <c r="C42" s="19">
        <f t="shared" si="7"/>
        <v>3</v>
      </c>
      <c r="D42" s="19">
        <v>1.0</v>
      </c>
      <c r="E42" s="19">
        <v>2.0</v>
      </c>
      <c r="F42" s="15"/>
      <c r="G42" s="20">
        <v>60.0</v>
      </c>
      <c r="H42" s="5"/>
      <c r="I42" s="5"/>
      <c r="J42" s="5"/>
      <c r="K42" s="5"/>
      <c r="L42" s="4"/>
    </row>
    <row r="43" ht="15.75" customHeight="1">
      <c r="A43" s="19">
        <v>111170.0</v>
      </c>
      <c r="B43" s="18" t="s">
        <v>48</v>
      </c>
      <c r="C43" s="17">
        <v>3.0</v>
      </c>
      <c r="D43" s="17">
        <v>1.0</v>
      </c>
      <c r="E43" s="17">
        <v>2.0</v>
      </c>
      <c r="F43" s="27"/>
      <c r="G43" s="29">
        <v>60.0</v>
      </c>
      <c r="H43" s="5"/>
      <c r="I43" s="5"/>
      <c r="J43" s="5"/>
      <c r="K43" s="5"/>
      <c r="L43" s="4"/>
    </row>
    <row r="44" ht="15.75" customHeight="1">
      <c r="A44" s="17">
        <v>111171.0</v>
      </c>
      <c r="B44" s="18" t="s">
        <v>19</v>
      </c>
      <c r="C44" s="19">
        <f t="shared" ref="C44:C46" si="8">SUM(D44:F44)</f>
        <v>3</v>
      </c>
      <c r="D44" s="19">
        <v>1.0</v>
      </c>
      <c r="E44" s="19">
        <v>2.0</v>
      </c>
      <c r="F44" s="15"/>
      <c r="G44" s="20">
        <v>60.0</v>
      </c>
      <c r="H44" s="5"/>
      <c r="I44" s="5"/>
      <c r="J44" s="5"/>
      <c r="K44" s="5"/>
      <c r="L44" s="4"/>
    </row>
    <row r="45" ht="15.75" customHeight="1">
      <c r="A45" s="17">
        <v>111172.0</v>
      </c>
      <c r="B45" s="18" t="s">
        <v>14</v>
      </c>
      <c r="C45" s="19">
        <f t="shared" si="8"/>
        <v>3</v>
      </c>
      <c r="D45" s="19">
        <v>1.0</v>
      </c>
      <c r="E45" s="19">
        <v>2.0</v>
      </c>
      <c r="F45" s="15"/>
      <c r="G45" s="20">
        <v>60.0</v>
      </c>
      <c r="H45" s="5"/>
      <c r="I45" s="5"/>
      <c r="J45" s="5"/>
      <c r="K45" s="5"/>
      <c r="L45" s="4"/>
    </row>
    <row r="46" ht="15.75" customHeight="1">
      <c r="A46" s="17">
        <v>111173.0</v>
      </c>
      <c r="B46" s="18" t="s">
        <v>80</v>
      </c>
      <c r="C46" s="19">
        <f t="shared" si="8"/>
        <v>2</v>
      </c>
      <c r="D46" s="19">
        <v>1.0</v>
      </c>
      <c r="E46" s="19">
        <v>0.0</v>
      </c>
      <c r="F46" s="19">
        <v>1.0</v>
      </c>
      <c r="G46" s="20">
        <v>30.0</v>
      </c>
      <c r="H46" s="5"/>
      <c r="I46" s="5"/>
      <c r="J46" s="5"/>
      <c r="K46" s="5"/>
      <c r="L46" s="4"/>
    </row>
    <row r="47" ht="15.75" customHeight="1">
      <c r="A47" s="25" t="s">
        <v>81</v>
      </c>
      <c r="B47" s="11"/>
      <c r="C47" s="22">
        <f t="shared" ref="C47:F47" si="9">SUBTOTAL(9,C39:C46)</f>
        <v>21</v>
      </c>
      <c r="D47" s="22">
        <f t="shared" si="9"/>
        <v>11</v>
      </c>
      <c r="E47" s="22">
        <f t="shared" si="9"/>
        <v>8</v>
      </c>
      <c r="F47" s="22">
        <f t="shared" si="9"/>
        <v>2</v>
      </c>
      <c r="G47" s="20">
        <v>375.0</v>
      </c>
      <c r="H47" s="4"/>
      <c r="I47" s="4"/>
      <c r="J47" s="4"/>
      <c r="K47" s="4"/>
      <c r="L47" s="4"/>
    </row>
    <row r="48" ht="15.75" customHeight="1">
      <c r="A48" s="17">
        <v>102066.0</v>
      </c>
      <c r="B48" s="18" t="s">
        <v>82</v>
      </c>
      <c r="C48" s="19">
        <f t="shared" ref="C48:C53" si="10">SUM(D48:F48)</f>
        <v>2</v>
      </c>
      <c r="D48" s="19">
        <v>2.0</v>
      </c>
      <c r="E48" s="15"/>
      <c r="F48" s="15"/>
      <c r="G48" s="20">
        <v>15.0</v>
      </c>
      <c r="H48" s="5"/>
      <c r="I48" s="5"/>
      <c r="J48" s="5"/>
      <c r="K48" s="5"/>
      <c r="L48" s="4"/>
    </row>
    <row r="49" ht="15.75" customHeight="1">
      <c r="A49" s="17">
        <v>102150.0</v>
      </c>
      <c r="B49" s="18" t="s">
        <v>83</v>
      </c>
      <c r="C49" s="19">
        <f t="shared" si="10"/>
        <v>3</v>
      </c>
      <c r="D49" s="19">
        <v>2.0</v>
      </c>
      <c r="E49" s="15"/>
      <c r="F49" s="19">
        <v>1.0</v>
      </c>
      <c r="G49" s="20">
        <v>60.0</v>
      </c>
      <c r="H49" s="5"/>
      <c r="I49" s="5"/>
      <c r="J49" s="5"/>
      <c r="K49" s="5"/>
      <c r="L49" s="4"/>
    </row>
    <row r="50" ht="15.75" customHeight="1">
      <c r="A50" s="17">
        <v>111168.0</v>
      </c>
      <c r="B50" s="18" t="s">
        <v>30</v>
      </c>
      <c r="C50" s="17">
        <f t="shared" si="10"/>
        <v>3</v>
      </c>
      <c r="D50" s="17">
        <v>1.0</v>
      </c>
      <c r="E50" s="17">
        <v>2.0</v>
      </c>
      <c r="F50" s="27"/>
      <c r="G50" s="29">
        <v>45.0</v>
      </c>
      <c r="H50" s="5"/>
      <c r="I50" s="5"/>
      <c r="J50" s="5"/>
      <c r="K50" s="5"/>
      <c r="L50" s="4"/>
    </row>
    <row r="51" ht="15.75" customHeight="1">
      <c r="A51" s="17">
        <v>111175.0</v>
      </c>
      <c r="B51" s="18" t="s">
        <v>40</v>
      </c>
      <c r="C51" s="19">
        <f t="shared" si="10"/>
        <v>3</v>
      </c>
      <c r="D51" s="19">
        <v>1.0</v>
      </c>
      <c r="E51" s="19">
        <v>2.0</v>
      </c>
      <c r="F51" s="19">
        <v>0.0</v>
      </c>
      <c r="G51" s="20">
        <v>45.0</v>
      </c>
      <c r="H51" s="5"/>
      <c r="I51" s="5"/>
      <c r="J51" s="5"/>
      <c r="K51" s="5"/>
      <c r="L51" s="4"/>
    </row>
    <row r="52" ht="15.75" customHeight="1">
      <c r="A52" s="17">
        <v>111181.0</v>
      </c>
      <c r="B52" s="18" t="s">
        <v>29</v>
      </c>
      <c r="C52" s="19">
        <f t="shared" si="10"/>
        <v>3</v>
      </c>
      <c r="D52" s="19">
        <v>1.0</v>
      </c>
      <c r="E52" s="19">
        <v>2.0</v>
      </c>
      <c r="F52" s="19">
        <v>0.0</v>
      </c>
      <c r="G52" s="20">
        <v>60.0</v>
      </c>
      <c r="H52" s="5"/>
      <c r="I52" s="5"/>
      <c r="J52" s="5"/>
      <c r="K52" s="5"/>
      <c r="L52" s="4"/>
    </row>
    <row r="53" ht="15.75" customHeight="1">
      <c r="A53" s="17">
        <v>111176.0</v>
      </c>
      <c r="B53" s="18" t="s">
        <v>21</v>
      </c>
      <c r="C53" s="19">
        <f t="shared" si="10"/>
        <v>3</v>
      </c>
      <c r="D53" s="19">
        <v>1.0</v>
      </c>
      <c r="E53" s="19">
        <v>2.0</v>
      </c>
      <c r="F53" s="19">
        <v>0.0</v>
      </c>
      <c r="G53" s="20">
        <v>60.0</v>
      </c>
      <c r="H53" s="5"/>
      <c r="I53" s="5"/>
      <c r="J53" s="5"/>
      <c r="K53" s="5"/>
      <c r="L53" s="4"/>
    </row>
    <row r="54" ht="15.75" customHeight="1">
      <c r="A54" s="25" t="s">
        <v>84</v>
      </c>
      <c r="B54" s="11"/>
      <c r="C54" s="15"/>
      <c r="D54" s="15"/>
      <c r="E54" s="15"/>
      <c r="F54" s="15"/>
      <c r="G54" s="20">
        <v>0.0</v>
      </c>
      <c r="H54" s="5"/>
      <c r="I54" s="5"/>
      <c r="J54" s="5"/>
      <c r="K54" s="5"/>
      <c r="L54" s="4"/>
    </row>
    <row r="55" ht="15.75" customHeight="1">
      <c r="A55" s="31">
        <v>111241.0</v>
      </c>
      <c r="B55" s="32" t="s">
        <v>85</v>
      </c>
      <c r="C55" s="33">
        <f>SUM(D55:F55)</f>
        <v>3</v>
      </c>
      <c r="D55" s="33">
        <v>1.0</v>
      </c>
      <c r="E55" s="33">
        <v>2.0</v>
      </c>
      <c r="F55" s="33">
        <v>0.0</v>
      </c>
      <c r="G55" s="20">
        <v>60.0</v>
      </c>
      <c r="H55" s="5"/>
      <c r="I55" s="5"/>
      <c r="J55" s="5"/>
      <c r="K55" s="5"/>
      <c r="L55" s="4"/>
    </row>
    <row r="56" ht="15.75" customHeight="1">
      <c r="A56" s="17">
        <v>111179.0</v>
      </c>
      <c r="B56" s="18" t="s">
        <v>86</v>
      </c>
      <c r="C56" s="13"/>
      <c r="D56" s="13"/>
      <c r="E56" s="13"/>
      <c r="F56" s="13"/>
      <c r="G56" s="20">
        <v>0.0</v>
      </c>
      <c r="H56" s="5"/>
      <c r="I56" s="5"/>
      <c r="J56" s="5"/>
      <c r="K56" s="5"/>
      <c r="L56" s="4"/>
    </row>
    <row r="57" ht="15.75" customHeight="1">
      <c r="A57" s="25" t="s">
        <v>87</v>
      </c>
      <c r="B57" s="11"/>
      <c r="C57" s="22">
        <f t="shared" ref="C57:F57" si="11">SUBTOTAL(9,C48:C56)</f>
        <v>20</v>
      </c>
      <c r="D57" s="22">
        <f t="shared" si="11"/>
        <v>9</v>
      </c>
      <c r="E57" s="22">
        <f t="shared" si="11"/>
        <v>10</v>
      </c>
      <c r="F57" s="22">
        <f t="shared" si="11"/>
        <v>1</v>
      </c>
      <c r="G57" s="20">
        <v>345.0</v>
      </c>
      <c r="H57" s="4"/>
      <c r="I57" s="4"/>
      <c r="J57" s="4"/>
      <c r="K57" s="4"/>
      <c r="L57" s="4"/>
    </row>
    <row r="58" ht="15.75" customHeight="1">
      <c r="A58" s="17">
        <v>102151.0</v>
      </c>
      <c r="B58" s="18" t="s">
        <v>88</v>
      </c>
      <c r="C58" s="19">
        <f t="shared" ref="C58:C61" si="12">SUM(D58:F58)</f>
        <v>3</v>
      </c>
      <c r="D58" s="19">
        <v>2.0</v>
      </c>
      <c r="E58" s="15"/>
      <c r="F58" s="19">
        <v>1.0</v>
      </c>
      <c r="G58" s="20">
        <v>60.0</v>
      </c>
      <c r="H58" s="5"/>
      <c r="I58" s="5"/>
      <c r="J58" s="5"/>
      <c r="K58" s="5"/>
      <c r="L58" s="4"/>
    </row>
    <row r="59" ht="15.75" customHeight="1">
      <c r="A59" s="17">
        <v>111183.0</v>
      </c>
      <c r="B59" s="18" t="s">
        <v>44</v>
      </c>
      <c r="C59" s="19">
        <f t="shared" si="12"/>
        <v>3</v>
      </c>
      <c r="D59" s="19">
        <v>1.0</v>
      </c>
      <c r="E59" s="19">
        <v>2.0</v>
      </c>
      <c r="F59" s="15"/>
      <c r="G59" s="20">
        <v>45.0</v>
      </c>
      <c r="H59" s="5"/>
      <c r="I59" s="5"/>
      <c r="J59" s="5"/>
      <c r="K59" s="5"/>
      <c r="L59" s="4"/>
    </row>
    <row r="60" ht="15.75" customHeight="1">
      <c r="A60" s="17">
        <v>111182.0</v>
      </c>
      <c r="B60" s="18" t="s">
        <v>22</v>
      </c>
      <c r="C60" s="19">
        <f t="shared" si="12"/>
        <v>3</v>
      </c>
      <c r="D60" s="19">
        <v>1.0</v>
      </c>
      <c r="E60" s="19">
        <v>2.0</v>
      </c>
      <c r="F60" s="19">
        <v>0.0</v>
      </c>
      <c r="G60" s="20">
        <v>60.0</v>
      </c>
      <c r="H60" s="5"/>
      <c r="I60" s="5"/>
      <c r="J60" s="5"/>
      <c r="K60" s="5"/>
      <c r="L60" s="4"/>
    </row>
    <row r="61" ht="15.75" customHeight="1">
      <c r="A61" s="17">
        <v>111184.0</v>
      </c>
      <c r="B61" s="18" t="s">
        <v>23</v>
      </c>
      <c r="C61" s="19">
        <f t="shared" si="12"/>
        <v>3</v>
      </c>
      <c r="D61" s="19">
        <v>1.0</v>
      </c>
      <c r="E61" s="19">
        <v>2.0</v>
      </c>
      <c r="F61" s="19">
        <v>0.0</v>
      </c>
      <c r="G61" s="20">
        <v>60.0</v>
      </c>
      <c r="H61" s="5"/>
      <c r="I61" s="5"/>
      <c r="J61" s="5"/>
      <c r="K61" s="5"/>
      <c r="L61" s="4"/>
    </row>
    <row r="62" ht="15.75" customHeight="1">
      <c r="A62" s="25" t="s">
        <v>84</v>
      </c>
      <c r="B62" s="11"/>
      <c r="C62" s="15"/>
      <c r="D62" s="15"/>
      <c r="E62" s="15"/>
      <c r="F62" s="15"/>
      <c r="G62" s="20">
        <v>0.0</v>
      </c>
      <c r="H62" s="5"/>
      <c r="I62" s="5"/>
      <c r="J62" s="5"/>
      <c r="K62" s="5"/>
      <c r="L62" s="4"/>
    </row>
    <row r="63" ht="15.75" customHeight="1">
      <c r="A63" s="31">
        <v>111242.0</v>
      </c>
      <c r="B63" s="32" t="s">
        <v>50</v>
      </c>
      <c r="C63" s="34">
        <f>SUM(D63:F63)</f>
        <v>3</v>
      </c>
      <c r="D63" s="34">
        <v>1.0</v>
      </c>
      <c r="E63" s="34">
        <v>2.0</v>
      </c>
      <c r="F63" s="34">
        <v>0.0</v>
      </c>
      <c r="G63" s="20">
        <v>60.0</v>
      </c>
      <c r="H63" s="5"/>
      <c r="I63" s="5"/>
      <c r="J63" s="5"/>
      <c r="K63" s="5"/>
      <c r="L63" s="4"/>
    </row>
    <row r="64" ht="15.75" customHeight="1">
      <c r="A64" s="31">
        <v>111243.0</v>
      </c>
      <c r="B64" s="32" t="s">
        <v>89</v>
      </c>
      <c r="C64" s="13"/>
      <c r="D64" s="13"/>
      <c r="E64" s="13"/>
      <c r="F64" s="13"/>
      <c r="G64" s="20">
        <v>0.0</v>
      </c>
      <c r="H64" s="5"/>
      <c r="I64" s="5"/>
      <c r="J64" s="5"/>
      <c r="K64" s="5"/>
      <c r="L64" s="4"/>
    </row>
    <row r="65" ht="15.75" customHeight="1">
      <c r="A65" s="25" t="s">
        <v>84</v>
      </c>
      <c r="B65" s="11"/>
      <c r="C65" s="15"/>
      <c r="D65" s="15"/>
      <c r="E65" s="15"/>
      <c r="F65" s="15"/>
      <c r="G65" s="20">
        <v>0.0</v>
      </c>
      <c r="H65" s="5"/>
      <c r="I65" s="5"/>
      <c r="J65" s="5"/>
      <c r="K65" s="5"/>
      <c r="L65" s="4"/>
    </row>
    <row r="66" ht="15.75" customHeight="1">
      <c r="A66" s="35">
        <v>111244.0</v>
      </c>
      <c r="B66" s="32" t="s">
        <v>51</v>
      </c>
      <c r="C66" s="33">
        <f>SUM(D66:F66)</f>
        <v>3</v>
      </c>
      <c r="D66" s="33">
        <v>1.0</v>
      </c>
      <c r="E66" s="33">
        <v>2.0</v>
      </c>
      <c r="F66" s="33">
        <v>0.0</v>
      </c>
      <c r="G66" s="20">
        <v>60.0</v>
      </c>
      <c r="H66" s="5"/>
      <c r="I66" s="5"/>
      <c r="J66" s="5"/>
      <c r="K66" s="5"/>
      <c r="L66" s="4"/>
    </row>
    <row r="67" ht="15.75" customHeight="1">
      <c r="A67" s="17">
        <v>111186.0</v>
      </c>
      <c r="B67" s="18" t="s">
        <v>90</v>
      </c>
      <c r="C67" s="13"/>
      <c r="D67" s="13"/>
      <c r="E67" s="13"/>
      <c r="F67" s="13"/>
      <c r="G67" s="20">
        <v>0.0</v>
      </c>
      <c r="H67" s="5"/>
      <c r="I67" s="5"/>
      <c r="J67" s="5"/>
      <c r="K67" s="5"/>
      <c r="L67" s="4"/>
    </row>
    <row r="68" ht="15.75" customHeight="1">
      <c r="A68" s="25" t="s">
        <v>91</v>
      </c>
      <c r="B68" s="11"/>
      <c r="C68" s="22">
        <f t="shared" ref="C68:F68" si="13">SUBTOTAL(9,C58:C67)</f>
        <v>18</v>
      </c>
      <c r="D68" s="22">
        <f t="shared" si="13"/>
        <v>7</v>
      </c>
      <c r="E68" s="22">
        <f t="shared" si="13"/>
        <v>10</v>
      </c>
      <c r="F68" s="22">
        <f t="shared" si="13"/>
        <v>1</v>
      </c>
      <c r="G68" s="20">
        <v>345.0</v>
      </c>
      <c r="H68" s="4"/>
      <c r="I68" s="4"/>
      <c r="J68" s="4"/>
      <c r="K68" s="4"/>
      <c r="L68" s="4"/>
    </row>
    <row r="69" ht="15.75" customHeight="1">
      <c r="A69" s="36">
        <v>199005.0</v>
      </c>
      <c r="B69" s="37" t="s">
        <v>92</v>
      </c>
      <c r="C69" s="19">
        <f t="shared" ref="C69:C72" si="14">SUM(D69:F69)</f>
        <v>3</v>
      </c>
      <c r="D69" s="19">
        <v>1.0</v>
      </c>
      <c r="E69" s="19">
        <v>2.0</v>
      </c>
      <c r="F69" s="15"/>
      <c r="G69" s="20">
        <v>60.0</v>
      </c>
      <c r="H69" s="4"/>
      <c r="I69" s="4"/>
      <c r="J69" s="4"/>
      <c r="K69" s="4"/>
      <c r="L69" s="4"/>
    </row>
    <row r="70" ht="15.75" customHeight="1">
      <c r="A70" s="36">
        <v>199006.0</v>
      </c>
      <c r="B70" s="37" t="s">
        <v>93</v>
      </c>
      <c r="C70" s="19">
        <f t="shared" si="14"/>
        <v>3</v>
      </c>
      <c r="D70" s="19">
        <v>1.0</v>
      </c>
      <c r="E70" s="19">
        <v>2.0</v>
      </c>
      <c r="F70" s="19">
        <v>0.0</v>
      </c>
      <c r="G70" s="20">
        <v>60.0</v>
      </c>
      <c r="H70" s="4"/>
      <c r="I70" s="4"/>
      <c r="J70" s="4"/>
      <c r="K70" s="4"/>
      <c r="L70" s="4"/>
    </row>
    <row r="71" ht="15.75" customHeight="1">
      <c r="A71" s="35">
        <v>111245.0</v>
      </c>
      <c r="B71" s="38" t="s">
        <v>94</v>
      </c>
      <c r="C71" s="35">
        <f t="shared" si="14"/>
        <v>3</v>
      </c>
      <c r="D71" s="35">
        <v>1.0</v>
      </c>
      <c r="E71" s="35">
        <v>2.0</v>
      </c>
      <c r="F71" s="35">
        <v>0.0</v>
      </c>
      <c r="G71" s="20">
        <v>60.0</v>
      </c>
      <c r="H71" s="4"/>
      <c r="I71" s="4"/>
      <c r="J71" s="4"/>
      <c r="K71" s="4"/>
      <c r="L71" s="4"/>
    </row>
    <row r="72" ht="15.75" customHeight="1">
      <c r="A72" s="17">
        <v>111188.0</v>
      </c>
      <c r="B72" s="18" t="s">
        <v>46</v>
      </c>
      <c r="C72" s="19">
        <f t="shared" si="14"/>
        <v>3</v>
      </c>
      <c r="D72" s="19">
        <v>1.0</v>
      </c>
      <c r="E72" s="19">
        <v>2.0</v>
      </c>
      <c r="F72" s="15"/>
      <c r="G72" s="20">
        <v>45.0</v>
      </c>
      <c r="H72" s="4"/>
      <c r="I72" s="4"/>
      <c r="J72" s="4"/>
      <c r="K72" s="4"/>
      <c r="L72" s="4"/>
    </row>
    <row r="73" ht="15.75" customHeight="1">
      <c r="A73" s="25" t="s">
        <v>84</v>
      </c>
      <c r="B73" s="11"/>
      <c r="C73" s="15"/>
      <c r="D73" s="15"/>
      <c r="E73" s="15"/>
      <c r="F73" s="15"/>
      <c r="G73" s="20">
        <v>0.0</v>
      </c>
      <c r="H73" s="4"/>
      <c r="I73" s="4"/>
      <c r="J73" s="4"/>
      <c r="K73" s="4"/>
      <c r="L73" s="4"/>
    </row>
    <row r="74" ht="15.75" customHeight="1">
      <c r="A74" s="36">
        <v>199007.0</v>
      </c>
      <c r="B74" s="37" t="s">
        <v>31</v>
      </c>
      <c r="C74" s="33">
        <v>3.0</v>
      </c>
      <c r="D74" s="33">
        <v>1.0</v>
      </c>
      <c r="E74" s="33">
        <v>2.0</v>
      </c>
      <c r="F74" s="41"/>
      <c r="G74" s="20">
        <v>60.0</v>
      </c>
      <c r="H74" s="4"/>
      <c r="I74" s="4"/>
      <c r="J74" s="4"/>
      <c r="K74" s="4"/>
      <c r="L74" s="4"/>
    </row>
    <row r="75" ht="15.75" customHeight="1">
      <c r="A75" s="17">
        <v>111189.0</v>
      </c>
      <c r="B75" s="18" t="s">
        <v>95</v>
      </c>
      <c r="C75" s="13"/>
      <c r="D75" s="13"/>
      <c r="E75" s="13"/>
      <c r="F75" s="13"/>
      <c r="G75" s="20">
        <v>0.0</v>
      </c>
      <c r="H75" s="4"/>
      <c r="I75" s="4"/>
      <c r="J75" s="4"/>
      <c r="K75" s="4"/>
      <c r="L75" s="4"/>
    </row>
    <row r="76" ht="15.75" customHeight="1">
      <c r="A76" s="25" t="s">
        <v>84</v>
      </c>
      <c r="B76" s="11"/>
      <c r="C76" s="15"/>
      <c r="D76" s="15"/>
      <c r="E76" s="15"/>
      <c r="F76" s="15"/>
      <c r="G76" s="20">
        <v>0.0</v>
      </c>
      <c r="H76" s="4"/>
      <c r="I76" s="4"/>
      <c r="J76" s="4"/>
      <c r="K76" s="4"/>
      <c r="L76" s="4"/>
    </row>
    <row r="77" ht="15.75" customHeight="1">
      <c r="A77" s="42">
        <v>199008.0</v>
      </c>
      <c r="B77" s="37" t="s">
        <v>96</v>
      </c>
      <c r="C77" s="34">
        <f>SUM(D77:F78)</f>
        <v>3</v>
      </c>
      <c r="D77" s="34">
        <v>2.0</v>
      </c>
      <c r="E77" s="34">
        <v>0.0</v>
      </c>
      <c r="F77" s="34">
        <v>1.0</v>
      </c>
      <c r="G77" s="20">
        <v>45.0</v>
      </c>
      <c r="H77" s="4"/>
      <c r="I77" s="4"/>
      <c r="J77" s="4"/>
      <c r="K77" s="4"/>
      <c r="L77" s="4"/>
    </row>
    <row r="78" ht="15.75" customHeight="1">
      <c r="A78" s="35">
        <v>111246.0</v>
      </c>
      <c r="B78" s="32" t="s">
        <v>97</v>
      </c>
      <c r="C78" s="43"/>
      <c r="D78" s="43"/>
      <c r="E78" s="43"/>
      <c r="F78" s="43"/>
      <c r="G78" s="20">
        <v>0.0</v>
      </c>
      <c r="H78" s="4"/>
      <c r="I78" s="4"/>
      <c r="J78" s="4"/>
      <c r="K78" s="4"/>
      <c r="L78" s="4"/>
    </row>
    <row r="79" ht="15.75" customHeight="1">
      <c r="A79" s="25" t="s">
        <v>98</v>
      </c>
      <c r="B79" s="11"/>
      <c r="C79" s="22">
        <f t="shared" ref="C79:F79" si="15">SUBTOTAL(9,C69:C78)</f>
        <v>18</v>
      </c>
      <c r="D79" s="22">
        <f t="shared" si="15"/>
        <v>7</v>
      </c>
      <c r="E79" s="22">
        <f t="shared" si="15"/>
        <v>10</v>
      </c>
      <c r="F79" s="22">
        <f t="shared" si="15"/>
        <v>1</v>
      </c>
      <c r="G79" s="20">
        <v>330.0</v>
      </c>
      <c r="H79" s="4"/>
      <c r="I79" s="4"/>
      <c r="J79" s="4"/>
      <c r="K79" s="4"/>
      <c r="L79" s="4"/>
    </row>
    <row r="80" ht="15.75" customHeight="1">
      <c r="A80" s="17">
        <v>111192.0</v>
      </c>
      <c r="B80" s="18" t="s">
        <v>99</v>
      </c>
      <c r="C80" s="19">
        <f t="shared" ref="C80:C81" si="16">SUM(D80:F80)</f>
        <v>6</v>
      </c>
      <c r="D80" s="44">
        <v>2.0</v>
      </c>
      <c r="E80" s="44">
        <v>2.0</v>
      </c>
      <c r="F80" s="44">
        <v>2.0</v>
      </c>
      <c r="G80" s="20">
        <v>60.0</v>
      </c>
      <c r="H80" s="4"/>
      <c r="I80" s="4"/>
      <c r="J80" s="4"/>
      <c r="K80" s="4"/>
      <c r="L80" s="4"/>
    </row>
    <row r="81" ht="15.75" customHeight="1">
      <c r="A81" s="17">
        <v>111193.0</v>
      </c>
      <c r="B81" s="18" t="s">
        <v>100</v>
      </c>
      <c r="C81" s="19">
        <f t="shared" si="16"/>
        <v>8</v>
      </c>
      <c r="D81" s="44">
        <v>3.0</v>
      </c>
      <c r="E81" s="44">
        <v>2.0</v>
      </c>
      <c r="F81" s="44">
        <v>3.0</v>
      </c>
      <c r="G81" s="20">
        <v>120.0</v>
      </c>
      <c r="H81" s="4"/>
      <c r="I81" s="4"/>
      <c r="J81" s="4"/>
      <c r="K81" s="4"/>
      <c r="L81" s="4"/>
    </row>
    <row r="82" ht="15.75" customHeight="1">
      <c r="A82" s="25" t="s">
        <v>101</v>
      </c>
      <c r="B82" s="11"/>
      <c r="C82" s="22">
        <f t="shared" ref="C82:F82" si="17">SUBTOTAL(9,C80:C81)</f>
        <v>14</v>
      </c>
      <c r="D82" s="22">
        <f t="shared" si="17"/>
        <v>5</v>
      </c>
      <c r="E82" s="22">
        <f t="shared" si="17"/>
        <v>4</v>
      </c>
      <c r="F82" s="22">
        <f t="shared" si="17"/>
        <v>5</v>
      </c>
      <c r="G82" s="20">
        <v>180.0</v>
      </c>
      <c r="H82" s="4"/>
      <c r="I82" s="4"/>
      <c r="J82" s="4"/>
      <c r="K82" s="4"/>
      <c r="L82" s="4"/>
    </row>
    <row r="83" ht="15.75" customHeight="1">
      <c r="A83" s="45" t="s">
        <v>102</v>
      </c>
      <c r="B83" s="11"/>
      <c r="C83" s="22">
        <f t="shared" ref="C83:F83" si="18">SUM(C82,C79,C68,C57,C47,C38,C27,C18)</f>
        <v>153</v>
      </c>
      <c r="D83" s="22">
        <f t="shared" si="18"/>
        <v>70</v>
      </c>
      <c r="E83" s="22">
        <f t="shared" si="18"/>
        <v>68</v>
      </c>
      <c r="F83" s="22">
        <f t="shared" si="18"/>
        <v>15</v>
      </c>
      <c r="G83" s="20">
        <v>2610.0</v>
      </c>
      <c r="H83" s="4"/>
      <c r="I83" s="4"/>
      <c r="J83" s="4"/>
      <c r="K83" s="4"/>
      <c r="L83" s="4"/>
    </row>
    <row r="84" ht="15.75" customHeight="1">
      <c r="A84" s="46"/>
      <c r="B84" s="46"/>
      <c r="C84" s="46"/>
      <c r="G84" s="20">
        <v>2610.0</v>
      </c>
      <c r="H84" s="4"/>
      <c r="I84" s="4"/>
      <c r="J84" s="4"/>
      <c r="K84" s="4"/>
      <c r="L84" s="4"/>
    </row>
    <row r="85" ht="15.75" customHeight="1">
      <c r="A85" s="5"/>
      <c r="B85" s="5"/>
      <c r="C85" s="5"/>
      <c r="H85" s="4"/>
      <c r="I85" s="4"/>
      <c r="J85" s="4"/>
      <c r="K85" s="4"/>
      <c r="L85" s="4"/>
    </row>
    <row r="86" ht="15.75" customHeight="1">
      <c r="A86" s="47" t="s">
        <v>103</v>
      </c>
      <c r="C86" s="48" t="s">
        <v>104</v>
      </c>
      <c r="H86" s="4"/>
      <c r="I86" s="4"/>
      <c r="J86" s="4"/>
      <c r="K86" s="4"/>
      <c r="L86" s="4"/>
    </row>
    <row r="87" ht="15.75" customHeight="1">
      <c r="A87" s="49" t="s">
        <v>105</v>
      </c>
      <c r="C87" s="5"/>
      <c r="D87" s="5"/>
      <c r="E87" s="5"/>
      <c r="F87" s="5"/>
      <c r="G87" s="5"/>
      <c r="H87" s="4"/>
      <c r="I87" s="4"/>
      <c r="J87" s="4"/>
      <c r="K87" s="4"/>
      <c r="L87" s="4"/>
    </row>
    <row r="88" ht="15.75" customHeight="1">
      <c r="A88" s="49" t="s">
        <v>106</v>
      </c>
      <c r="C88" s="5"/>
      <c r="D88" s="50"/>
      <c r="E88" s="50"/>
      <c r="F88" s="5"/>
      <c r="G88" s="5"/>
      <c r="H88" s="4"/>
      <c r="I88" s="4"/>
      <c r="J88" s="4"/>
      <c r="K88" s="4"/>
      <c r="L88" s="4"/>
    </row>
    <row r="89" ht="15.75" customHeight="1">
      <c r="A89" s="49" t="s">
        <v>107</v>
      </c>
      <c r="C89" s="5"/>
      <c r="D89" s="5"/>
      <c r="E89" s="5"/>
      <c r="F89" s="5"/>
      <c r="G89" s="5"/>
      <c r="H89" s="4"/>
      <c r="I89" s="4"/>
      <c r="J89" s="4"/>
      <c r="K89" s="4"/>
      <c r="L89" s="4"/>
    </row>
    <row r="90" ht="15.75" customHeight="1">
      <c r="A90" s="5"/>
      <c r="B90" s="5"/>
      <c r="C90" s="3" t="s">
        <v>108</v>
      </c>
      <c r="H90" s="4"/>
      <c r="I90" s="4"/>
      <c r="J90" s="4"/>
      <c r="K90" s="4"/>
      <c r="L90" s="4"/>
    </row>
    <row r="91" ht="15.75" customHeight="1">
      <c r="A91" s="5"/>
      <c r="B91" s="5"/>
      <c r="C91" s="5"/>
      <c r="D91" s="5"/>
      <c r="E91" s="5"/>
      <c r="F91" s="5"/>
      <c r="G91" s="5"/>
      <c r="H91" s="4"/>
      <c r="I91" s="4"/>
      <c r="J91" s="4"/>
      <c r="K91" s="4"/>
      <c r="L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mergeCells count="52">
    <mergeCell ref="A1:B1"/>
    <mergeCell ref="C1:G1"/>
    <mergeCell ref="A2:B2"/>
    <mergeCell ref="C2:G2"/>
    <mergeCell ref="C3:G3"/>
    <mergeCell ref="A4:G4"/>
    <mergeCell ref="A5:G5"/>
    <mergeCell ref="A7:A8"/>
    <mergeCell ref="B7:B8"/>
    <mergeCell ref="C7:F7"/>
    <mergeCell ref="A18:B18"/>
    <mergeCell ref="A27:B27"/>
    <mergeCell ref="A38:B38"/>
    <mergeCell ref="A47:B47"/>
    <mergeCell ref="A54:B54"/>
    <mergeCell ref="C55:C56"/>
    <mergeCell ref="D55:D56"/>
    <mergeCell ref="E55:E56"/>
    <mergeCell ref="F55:F56"/>
    <mergeCell ref="A57:B57"/>
    <mergeCell ref="A62:B62"/>
    <mergeCell ref="E66:E67"/>
    <mergeCell ref="F66:F67"/>
    <mergeCell ref="C63:C64"/>
    <mergeCell ref="D63:D64"/>
    <mergeCell ref="E63:E64"/>
    <mergeCell ref="F63:F64"/>
    <mergeCell ref="A65:B65"/>
    <mergeCell ref="C66:C67"/>
    <mergeCell ref="D66:D67"/>
    <mergeCell ref="A68:B68"/>
    <mergeCell ref="A73:B73"/>
    <mergeCell ref="C74:C75"/>
    <mergeCell ref="D74:D75"/>
    <mergeCell ref="E74:E75"/>
    <mergeCell ref="F74:F75"/>
    <mergeCell ref="A76:B76"/>
    <mergeCell ref="C84:F84"/>
    <mergeCell ref="C85:G85"/>
    <mergeCell ref="A86:B86"/>
    <mergeCell ref="C86:G86"/>
    <mergeCell ref="A87:B87"/>
    <mergeCell ref="A88:B88"/>
    <mergeCell ref="A89:B89"/>
    <mergeCell ref="C90:G90"/>
    <mergeCell ref="C77:C78"/>
    <mergeCell ref="D77:D78"/>
    <mergeCell ref="E77:E78"/>
    <mergeCell ref="F77:F78"/>
    <mergeCell ref="A79:B79"/>
    <mergeCell ref="A82:B82"/>
    <mergeCell ref="A83:B8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32.13"/>
    <col customWidth="1" min="5" max="6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ht="15.75" customHeight="1">
      <c r="A2" s="1">
        <v>1.0</v>
      </c>
      <c r="B2" s="1" t="s">
        <v>7</v>
      </c>
      <c r="C2" s="1">
        <v>111155.0</v>
      </c>
      <c r="D2" s="1" t="s">
        <v>8</v>
      </c>
      <c r="E2" s="1" t="s">
        <v>9</v>
      </c>
    </row>
    <row r="3" ht="15.75" customHeight="1">
      <c r="A3" s="1">
        <v>2.0</v>
      </c>
      <c r="B3" s="1" t="s">
        <v>7</v>
      </c>
      <c r="C3" s="1">
        <v>111161.0</v>
      </c>
      <c r="D3" s="1" t="s">
        <v>10</v>
      </c>
      <c r="E3" s="1" t="s">
        <v>9</v>
      </c>
    </row>
    <row r="4" ht="15.75" customHeight="1">
      <c r="A4" s="1">
        <v>3.0</v>
      </c>
      <c r="B4" s="1" t="s">
        <v>7</v>
      </c>
      <c r="C4" s="1">
        <v>111167.0</v>
      </c>
      <c r="D4" s="1" t="s">
        <v>13</v>
      </c>
      <c r="E4" s="1" t="s">
        <v>9</v>
      </c>
    </row>
    <row r="5" ht="15.75" customHeight="1">
      <c r="A5" s="1">
        <v>4.0</v>
      </c>
      <c r="B5" s="1" t="s">
        <v>7</v>
      </c>
      <c r="C5" s="1">
        <v>111172.0</v>
      </c>
      <c r="D5" s="1" t="s">
        <v>14</v>
      </c>
      <c r="E5" s="1" t="s">
        <v>9</v>
      </c>
    </row>
    <row r="6" ht="15.75" customHeight="1"/>
    <row r="7" ht="15.75" customHeight="1">
      <c r="A7" s="1" t="s">
        <v>0</v>
      </c>
      <c r="B7" s="1" t="s">
        <v>2</v>
      </c>
      <c r="C7" s="1" t="s">
        <v>3</v>
      </c>
      <c r="D7" s="1" t="s">
        <v>4</v>
      </c>
      <c r="E7" s="1" t="s">
        <v>5</v>
      </c>
    </row>
    <row r="8" ht="15.75" customHeight="1">
      <c r="A8" s="1">
        <v>3.0</v>
      </c>
      <c r="B8" s="1" t="s">
        <v>7</v>
      </c>
      <c r="C8" s="1">
        <v>111164.0</v>
      </c>
      <c r="D8" s="1" t="s">
        <v>17</v>
      </c>
      <c r="E8" s="1" t="s">
        <v>9</v>
      </c>
    </row>
    <row r="9" ht="15.75" customHeight="1">
      <c r="A9" s="1">
        <v>4.0</v>
      </c>
      <c r="B9" s="1" t="s">
        <v>18</v>
      </c>
      <c r="C9" s="1">
        <v>111171.0</v>
      </c>
      <c r="D9" s="1" t="s">
        <v>19</v>
      </c>
      <c r="E9" s="1" t="s">
        <v>9</v>
      </c>
    </row>
    <row r="10" ht="15.75" customHeight="1">
      <c r="A10" s="1">
        <v>5.0</v>
      </c>
      <c r="B10" s="1" t="s">
        <v>18</v>
      </c>
      <c r="C10" s="1">
        <v>111176.0</v>
      </c>
      <c r="D10" s="1" t="s">
        <v>21</v>
      </c>
      <c r="E10" s="1" t="s">
        <v>9</v>
      </c>
    </row>
    <row r="11" ht="15.75" customHeight="1">
      <c r="A11" s="1">
        <v>6.0</v>
      </c>
      <c r="B11" s="1" t="s">
        <v>18</v>
      </c>
      <c r="C11" s="1">
        <v>111182.0</v>
      </c>
      <c r="D11" s="1" t="s">
        <v>22</v>
      </c>
      <c r="E11" s="1" t="s">
        <v>9</v>
      </c>
    </row>
    <row r="12" ht="15.75" customHeight="1">
      <c r="A12" s="1">
        <v>6.0</v>
      </c>
      <c r="B12" s="1" t="s">
        <v>18</v>
      </c>
      <c r="C12" s="1">
        <v>111184.0</v>
      </c>
      <c r="D12" s="1" t="s">
        <v>23</v>
      </c>
      <c r="E12" s="1" t="s">
        <v>9</v>
      </c>
    </row>
    <row r="13" ht="15.75" customHeight="1"/>
    <row r="14" ht="15.75" customHeight="1"/>
    <row r="15" ht="15.75" customHeight="1">
      <c r="A15" s="1" t="s">
        <v>0</v>
      </c>
      <c r="B15" s="1" t="s">
        <v>2</v>
      </c>
      <c r="C15" s="1" t="s">
        <v>3</v>
      </c>
      <c r="D15" s="1" t="s">
        <v>4</v>
      </c>
      <c r="E15" s="1" t="s">
        <v>5</v>
      </c>
    </row>
    <row r="16" ht="15.75" customHeight="1">
      <c r="A16" s="1">
        <v>2.0</v>
      </c>
      <c r="B16" s="1" t="s">
        <v>7</v>
      </c>
      <c r="C16" s="1">
        <v>111159.0</v>
      </c>
      <c r="D16" s="1" t="s">
        <v>25</v>
      </c>
      <c r="E16" s="1" t="s">
        <v>27</v>
      </c>
    </row>
    <row r="17" ht="15.75" customHeight="1">
      <c r="A17" s="1">
        <v>5.0</v>
      </c>
      <c r="B17" s="1" t="s">
        <v>18</v>
      </c>
      <c r="C17" s="1">
        <v>111181.0</v>
      </c>
      <c r="D17" s="1" t="s">
        <v>29</v>
      </c>
      <c r="E17" s="1" t="s">
        <v>9</v>
      </c>
    </row>
    <row r="18" ht="15.75" customHeight="1">
      <c r="A18" s="1">
        <v>5.0</v>
      </c>
      <c r="B18" s="1" t="s">
        <v>18</v>
      </c>
      <c r="C18" s="1">
        <v>111168.0</v>
      </c>
      <c r="D18" s="1" t="s">
        <v>30</v>
      </c>
      <c r="E18" s="1" t="s">
        <v>9</v>
      </c>
    </row>
    <row r="19" ht="15.75" customHeight="1">
      <c r="A19" s="1">
        <v>7.0</v>
      </c>
      <c r="B19" s="1" t="s">
        <v>18</v>
      </c>
      <c r="C19" s="1">
        <v>199007.0</v>
      </c>
      <c r="D19" s="1" t="s">
        <v>31</v>
      </c>
      <c r="E19" s="1" t="s">
        <v>9</v>
      </c>
    </row>
    <row r="20" ht="15.75" customHeight="1"/>
    <row r="21" ht="15.75" customHeight="1"/>
    <row r="22" ht="15.75" customHeight="1">
      <c r="A22" s="1" t="s">
        <v>0</v>
      </c>
      <c r="B22" s="1" t="s">
        <v>2</v>
      </c>
      <c r="C22" s="1" t="s">
        <v>3</v>
      </c>
      <c r="D22" s="1" t="s">
        <v>4</v>
      </c>
      <c r="E22" s="1" t="s">
        <v>5</v>
      </c>
    </row>
    <row r="23" ht="15.75" customHeight="1">
      <c r="A23" s="1">
        <v>3.0</v>
      </c>
      <c r="B23" s="1" t="s">
        <v>7</v>
      </c>
      <c r="C23" s="1">
        <v>111160.0</v>
      </c>
      <c r="D23" s="1" t="s">
        <v>34</v>
      </c>
      <c r="E23" s="1" t="s">
        <v>9</v>
      </c>
    </row>
    <row r="24" ht="15.75" customHeight="1">
      <c r="A24" s="1">
        <v>4.0</v>
      </c>
      <c r="B24" s="1" t="s">
        <v>18</v>
      </c>
      <c r="C24" s="1">
        <v>111165.0</v>
      </c>
      <c r="D24" s="1" t="s">
        <v>38</v>
      </c>
      <c r="E24" s="1" t="s">
        <v>9</v>
      </c>
    </row>
    <row r="25" ht="15.75" customHeight="1">
      <c r="A25" s="1">
        <v>5.0</v>
      </c>
      <c r="B25" s="1" t="s">
        <v>18</v>
      </c>
      <c r="C25" s="1">
        <v>111175.0</v>
      </c>
      <c r="D25" s="1" t="s">
        <v>40</v>
      </c>
      <c r="E25" s="1" t="s">
        <v>9</v>
      </c>
    </row>
    <row r="26" ht="15.75" customHeight="1">
      <c r="A26" s="1">
        <v>6.0</v>
      </c>
      <c r="B26" s="1" t="s">
        <v>18</v>
      </c>
      <c r="C26" s="1">
        <v>111183.0</v>
      </c>
      <c r="D26" s="1" t="s">
        <v>44</v>
      </c>
      <c r="E26" s="1" t="s">
        <v>9</v>
      </c>
    </row>
    <row r="27" ht="15.75" customHeight="1">
      <c r="A27" s="1">
        <v>7.0</v>
      </c>
      <c r="B27" s="1" t="s">
        <v>18</v>
      </c>
      <c r="C27" s="1">
        <v>111188.0</v>
      </c>
      <c r="D27" s="1" t="s">
        <v>46</v>
      </c>
      <c r="E27" s="1" t="s">
        <v>9</v>
      </c>
    </row>
    <row r="28" ht="15.75" customHeight="1"/>
    <row r="29" ht="15.75" customHeight="1"/>
    <row r="30" ht="15.75" customHeight="1">
      <c r="A30" s="1" t="s">
        <v>0</v>
      </c>
      <c r="B30" s="1" t="s">
        <v>2</v>
      </c>
      <c r="C30" s="1" t="s">
        <v>3</v>
      </c>
      <c r="D30" s="1" t="s">
        <v>4</v>
      </c>
      <c r="E30" s="1" t="s">
        <v>5</v>
      </c>
    </row>
    <row r="31" ht="15.75" customHeight="1">
      <c r="A31" s="1">
        <v>3.0</v>
      </c>
      <c r="B31" s="1" t="s">
        <v>7</v>
      </c>
      <c r="C31" s="1">
        <v>111166.0</v>
      </c>
      <c r="D31" s="1" t="s">
        <v>47</v>
      </c>
      <c r="E31" s="1" t="s">
        <v>9</v>
      </c>
    </row>
    <row r="32" ht="15.75" customHeight="1">
      <c r="A32" s="1">
        <v>4.0</v>
      </c>
      <c r="B32" s="1" t="s">
        <v>18</v>
      </c>
      <c r="C32" s="1">
        <v>111170.0</v>
      </c>
      <c r="D32" s="1" t="s">
        <v>48</v>
      </c>
      <c r="E32" s="1" t="s">
        <v>9</v>
      </c>
    </row>
    <row r="33" ht="15.75" customHeight="1">
      <c r="A33" s="1">
        <v>6.0</v>
      </c>
      <c r="B33" s="1" t="s">
        <v>18</v>
      </c>
      <c r="C33" s="1">
        <v>111212.0</v>
      </c>
      <c r="D33" s="1" t="s">
        <v>50</v>
      </c>
      <c r="E33" s="1" t="s">
        <v>9</v>
      </c>
    </row>
    <row r="34" ht="15.75" customHeight="1">
      <c r="A34" s="1">
        <v>6.0</v>
      </c>
      <c r="B34" s="1" t="s">
        <v>18</v>
      </c>
      <c r="C34" s="1">
        <v>111213.0</v>
      </c>
      <c r="D34" s="1" t="s">
        <v>51</v>
      </c>
      <c r="E34" s="1" t="s">
        <v>9</v>
      </c>
    </row>
    <row r="35" ht="15.75" customHeight="1">
      <c r="A35" s="1">
        <v>7.0</v>
      </c>
      <c r="B35" s="1" t="s">
        <v>18</v>
      </c>
      <c r="C35" s="1">
        <v>111214.0</v>
      </c>
      <c r="D35" s="1" t="s">
        <v>52</v>
      </c>
      <c r="E35" s="1" t="s">
        <v>9</v>
      </c>
    </row>
    <row r="36" ht="15.75" customHeight="1">
      <c r="A36" s="1">
        <v>7.0</v>
      </c>
      <c r="B36" s="1" t="s">
        <v>18</v>
      </c>
      <c r="C36" s="1">
        <v>111215.0</v>
      </c>
      <c r="D36" s="1" t="s">
        <v>53</v>
      </c>
      <c r="E36" s="1" t="s">
        <v>55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