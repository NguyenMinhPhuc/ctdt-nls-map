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apCTDT\"/>
    </mc:Choice>
  </mc:AlternateContent>
  <xr:revisionPtr revIDLastSave="0" documentId="13_ncr:1_{A3D6D024-F3E7-4D89-A6D2-8DDAF72E2CC9}" xr6:coauthVersionLast="47" xr6:coauthVersionMax="47" xr10:uidLastSave="{00000000-0000-0000-0000-000000000000}"/>
  <bookViews>
    <workbookView xWindow="-108" yWindow="-108" windowWidth="23256" windowHeight="12456" firstSheet="1" activeTab="3" xr2:uid="{00000000-000D-0000-FFFF-FFFF00000000}"/>
  </bookViews>
  <sheets>
    <sheet name="Ma Trận Môn Học - 6 Miền NLS" sheetId="1" r:id="rId1"/>
    <sheet name="Ma Trận Môn Học - 24 NLTP" sheetId="2" r:id="rId2"/>
    <sheet name="Tra Cứu Khung NLS (TT 02)" sheetId="3" r:id="rId3"/>
    <sheet name="Gợi Ý Bổ Sung &amp; Minh Chứng NL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53" i="2" l="1"/>
  <c r="AB53" i="2"/>
  <c r="AA53" i="2"/>
  <c r="Z53" i="2"/>
  <c r="Y53" i="2"/>
  <c r="X53" i="2"/>
  <c r="W53" i="2"/>
  <c r="V53" i="2"/>
  <c r="U53" i="2"/>
  <c r="T53" i="2"/>
  <c r="S53" i="2"/>
  <c r="R53" i="2"/>
  <c r="Q53" i="2"/>
  <c r="P53" i="2"/>
  <c r="O53" i="2"/>
  <c r="N53" i="2"/>
  <c r="M53" i="2"/>
  <c r="L53" i="2"/>
  <c r="K53" i="2"/>
  <c r="J53" i="2"/>
  <c r="I53" i="2"/>
  <c r="H53" i="2"/>
  <c r="G53" i="2"/>
  <c r="F53" i="2"/>
  <c r="K52" i="1"/>
  <c r="K53" i="1" s="1"/>
  <c r="J52" i="1"/>
  <c r="J53" i="1" s="1"/>
  <c r="I52" i="1"/>
  <c r="I53" i="1" s="1"/>
  <c r="H52" i="1"/>
  <c r="H53" i="1" s="1"/>
  <c r="G52" i="1"/>
  <c r="G53" i="1" s="1"/>
  <c r="F52" i="1"/>
  <c r="F53" i="1" s="1"/>
</calcChain>
</file>

<file path=xl/sharedStrings.xml><?xml version="1.0" encoding="utf-8"?>
<sst xmlns="http://schemas.openxmlformats.org/spreadsheetml/2006/main" count="1267" uniqueCount="425">
  <si>
    <t>MA TRẬN ÁNH XẠ MÔN HỌC VÀ CÁC MIỀN NĂNG LỰC SỐ</t>
  </si>
  <si>
    <t>Chương trình đào tạo: Công nghệ Thông tin - Khóa 2026 | Căn cứ: Thông tư 02/2025/TT-BGDĐT</t>
  </si>
  <si>
    <t>STT</t>
  </si>
  <si>
    <t>Mã MH</t>
  </si>
  <si>
    <t>Tên Môn Học / Học Phần</t>
  </si>
  <si>
    <t>Số TC</t>
  </si>
  <si>
    <t>Khối Kiến Thức</t>
  </si>
  <si>
    <t>Miền I
Khai thác dữ liệu &amp; thông tin</t>
  </si>
  <si>
    <t>Miền II
Giao tiếp &amp; hợp tác số</t>
  </si>
  <si>
    <t>Miền III
Sáng tạo nội dung số</t>
  </si>
  <si>
    <t>Miền IV
An toàn số</t>
  </si>
  <si>
    <t>Miền V
Giải quyết vấn đề bằng CNTT</t>
  </si>
  <si>
    <t>Miền VI
Ứng dụng AI &amp; GenAI</t>
  </si>
  <si>
    <t>Các Miền Phủ</t>
  </si>
  <si>
    <t>Mức Độ Cao Nhất</t>
  </si>
  <si>
    <t>102112</t>
  </si>
  <si>
    <t>Tin học đại cương</t>
  </si>
  <si>
    <t>Đại cương</t>
  </si>
  <si>
    <t>Mức 2 (1 CLO)</t>
  </si>
  <si>
    <t>-</t>
  </si>
  <si>
    <t>Mức 3 (1 CLO)</t>
  </si>
  <si>
    <t>I, III, IV</t>
  </si>
  <si>
    <t>Mức 3</t>
  </si>
  <si>
    <t>111155</t>
  </si>
  <si>
    <t>Nhập môn lập trình</t>
  </si>
  <si>
    <t>Cơ sở ngành</t>
  </si>
  <si>
    <t>Mức 4 (1 CLO)</t>
  </si>
  <si>
    <t>Mức 3 (2 CLO)</t>
  </si>
  <si>
    <t>II, III</t>
  </si>
  <si>
    <t>Mức 4</t>
  </si>
  <si>
    <t>111156</t>
  </si>
  <si>
    <t>Lắp ráp và tối ưu hệ thống máy tính</t>
  </si>
  <si>
    <t>I, II, IV</t>
  </si>
  <si>
    <t>111157</t>
  </si>
  <si>
    <t>Phần mềm mã nguồn mở</t>
  </si>
  <si>
    <t>Mức 4 (2 CLO)</t>
  </si>
  <si>
    <t>111154</t>
  </si>
  <si>
    <t>Nhập môn ngành</t>
  </si>
  <si>
    <t>II, V</t>
  </si>
  <si>
    <t>111168</t>
  </si>
  <si>
    <t>Nhập môn Phát triển dự án kỹ thuật</t>
  </si>
  <si>
    <t>111158</t>
  </si>
  <si>
    <t>Vật lý thực hành</t>
  </si>
  <si>
    <t>V</t>
  </si>
  <si>
    <t>111159</t>
  </si>
  <si>
    <t>Điện tử trong IoT</t>
  </si>
  <si>
    <t>Mức 4 (3 CLO)</t>
  </si>
  <si>
    <t>111162</t>
  </si>
  <si>
    <t>Thiết kế UI/UX</t>
  </si>
  <si>
    <t>II, III, V</t>
  </si>
  <si>
    <t>111161</t>
  </si>
  <si>
    <t>Kỹ Thuật lập trình</t>
  </si>
  <si>
    <t>III, V, VI</t>
  </si>
  <si>
    <t>111164</t>
  </si>
  <si>
    <t>Thiết kế web</t>
  </si>
  <si>
    <t>111160</t>
  </si>
  <si>
    <t>Mạng máy tính</t>
  </si>
  <si>
    <t>111174</t>
  </si>
  <si>
    <t>Toán rời rạc</t>
  </si>
  <si>
    <t>III, V</t>
  </si>
  <si>
    <t>111167</t>
  </si>
  <si>
    <t>Cấu trúc dữ liệu và giải thuật</t>
  </si>
  <si>
    <t>I, II, III, V</t>
  </si>
  <si>
    <t>111163</t>
  </si>
  <si>
    <t>Tín hiệu số cơ bản</t>
  </si>
  <si>
    <t>111166</t>
  </si>
  <si>
    <t>Cơ sở dữ liệu</t>
  </si>
  <si>
    <t>Mức 4 (4 CLO)</t>
  </si>
  <si>
    <t>I</t>
  </si>
  <si>
    <t>111165</t>
  </si>
  <si>
    <t>Mạng máy tính nâng cao</t>
  </si>
  <si>
    <t>II, III, IV, V</t>
  </si>
  <si>
    <t>111175</t>
  </si>
  <si>
    <t>Dịch vụ mạng</t>
  </si>
  <si>
    <t>I, II, V</t>
  </si>
  <si>
    <t>111172</t>
  </si>
  <si>
    <t>Lập trình hướng đối tượng</t>
  </si>
  <si>
    <t>III, VI</t>
  </si>
  <si>
    <t>111170</t>
  </si>
  <si>
    <t>Hệ quản trị CSDL</t>
  </si>
  <si>
    <t>111171</t>
  </si>
  <si>
    <t>Lập trình Front-End</t>
  </si>
  <si>
    <t>111173</t>
  </si>
  <si>
    <t>Kiến tập</t>
  </si>
  <si>
    <t>II</t>
  </si>
  <si>
    <t>111183</t>
  </si>
  <si>
    <t>Thiết kế hệ thống mạng</t>
  </si>
  <si>
    <t>Chuyên ngành</t>
  </si>
  <si>
    <t>Mức 5 (1 CLO)</t>
  </si>
  <si>
    <t>Mức 5</t>
  </si>
  <si>
    <t>111176</t>
  </si>
  <si>
    <t>Lập trình Back-End</t>
  </si>
  <si>
    <t>111212</t>
  </si>
  <si>
    <t>Trực quan hóa dữ liệu và Báo cáo thông minh</t>
  </si>
  <si>
    <t>I, III</t>
  </si>
  <si>
    <t>111211</t>
  </si>
  <si>
    <t>Khai phá dữ liệu và Học máy cơ bản</t>
  </si>
  <si>
    <t>VI</t>
  </si>
  <si>
    <t>111179</t>
  </si>
  <si>
    <t>Phân tích thiết kế hệ thống hướng quan hệ</t>
  </si>
  <si>
    <t>I, V</t>
  </si>
  <si>
    <t>111181</t>
  </si>
  <si>
    <t>Lập trình giao tiếp thiết bị</t>
  </si>
  <si>
    <t>111182</t>
  </si>
  <si>
    <t>Lập trình ứng dụng di động</t>
  </si>
  <si>
    <t>111184</t>
  </si>
  <si>
    <t>Lập trình ứng dụng web</t>
  </si>
  <si>
    <t>111185</t>
  </si>
  <si>
    <t>Lập trình Python cho học máy</t>
  </si>
  <si>
    <t>111186</t>
  </si>
  <si>
    <t>Lập trình Python trong thị giác máy tính</t>
  </si>
  <si>
    <t>Mức 5 (3 CLO)</t>
  </si>
  <si>
    <t>111187</t>
  </si>
  <si>
    <t>Kiểm thử và đảm bảo chất lượng phần mềm</t>
  </si>
  <si>
    <t>111188</t>
  </si>
  <si>
    <t>Quản trị website trên VPS.</t>
  </si>
  <si>
    <t>I, II, IV, V</t>
  </si>
  <si>
    <t>111189</t>
  </si>
  <si>
    <t>Phát triển ứng dụng</t>
  </si>
  <si>
    <t>Mức 5 (2 CLO)</t>
  </si>
  <si>
    <t>111241</t>
  </si>
  <si>
    <t>Phân tích và thiết kế hệ thống thông tin</t>
  </si>
  <si>
    <t>111242</t>
  </si>
  <si>
    <t>Phân tích dữ liệu thông minh</t>
  </si>
  <si>
    <t>I, VI</t>
  </si>
  <si>
    <t>111243</t>
  </si>
  <si>
    <t>Phân tích dữ liệu văn bản</t>
  </si>
  <si>
    <t>111244</t>
  </si>
  <si>
    <t>Kỹ thuật xử lý dữ liệu với Python</t>
  </si>
  <si>
    <t>111245</t>
  </si>
  <si>
    <t>Trực quan hóa và kể chuyện với dữ liệu</t>
  </si>
  <si>
    <t>111246</t>
  </si>
  <si>
    <t>Generative AI &amp; AI Agents</t>
  </si>
  <si>
    <t>199005</t>
  </si>
  <si>
    <t>Software Verification, Validation, and Testing</t>
  </si>
  <si>
    <t>199006</t>
  </si>
  <si>
    <t>Software Project, Process and Quality Management</t>
  </si>
  <si>
    <t>199007</t>
  </si>
  <si>
    <t>Software Integration and Engineering</t>
  </si>
  <si>
    <t>III, IV</t>
  </si>
  <si>
    <t>199008</t>
  </si>
  <si>
    <t>Technology Entrepreneurship</t>
  </si>
  <si>
    <t>111192</t>
  </si>
  <si>
    <t>Thực tập</t>
  </si>
  <si>
    <t>Tốt nghiệp</t>
  </si>
  <si>
    <t>111193</t>
  </si>
  <si>
    <t>TỔNG SỐ HỌC PHẦN PHỦ THEO MIỀN</t>
  </si>
  <si>
    <t>47 môn</t>
  </si>
  <si>
    <t>100% Phủ 6 Miền</t>
  </si>
  <si>
    <t>TỶ LỆ % ĐỘ PHỦ TRÊN TOÀN BỘ CTDT (47 MÔN)</t>
  </si>
  <si>
    <t>MA TRẬN CHI TIẾT MÔN HỌC VÀ 24 NĂNG LỰC THÀNH PHẦN SỐ</t>
  </si>
  <si>
    <t>Chi tiết 24 Năng lực thành phần (1.1 đến 6.3) theo Khung NLS Thông tư 02/2025/TT-BGDĐT</t>
  </si>
  <si>
    <t>THÔNG TIN HỌC PHẦN</t>
  </si>
  <si>
    <t>Miền I: Khai thác DL</t>
  </si>
  <si>
    <t>Miền II: Giao tiếp &amp; Hợp tác</t>
  </si>
  <si>
    <t>Miền III: Sáng tạo số</t>
  </si>
  <si>
    <t>Miền IV: An toàn số</t>
  </si>
  <si>
    <t>Miền V: Giải quyết vấn đề</t>
  </si>
  <si>
    <t>Miền VI: Ứng dụng AI</t>
  </si>
  <si>
    <t>Tên Môn Học</t>
  </si>
  <si>
    <t>TC</t>
  </si>
  <si>
    <t>Khối KT</t>
  </si>
  <si>
    <t>1.1</t>
  </si>
  <si>
    <t>1.2</t>
  </si>
  <si>
    <t>1.3</t>
  </si>
  <si>
    <t>2.1</t>
  </si>
  <si>
    <t>2.2</t>
  </si>
  <si>
    <t>2.3</t>
  </si>
  <si>
    <t>2.4</t>
  </si>
  <si>
    <t>2.5</t>
  </si>
  <si>
    <t>2.6</t>
  </si>
  <si>
    <t>3.1</t>
  </si>
  <si>
    <t>3.2</t>
  </si>
  <si>
    <t>3.3</t>
  </si>
  <si>
    <t>3.4</t>
  </si>
  <si>
    <t>4.1</t>
  </si>
  <si>
    <t>4.2</t>
  </si>
  <si>
    <t>4.3</t>
  </si>
  <si>
    <t>4.4</t>
  </si>
  <si>
    <t>5.1</t>
  </si>
  <si>
    <t>5.2</t>
  </si>
  <si>
    <t>5.3</t>
  </si>
  <si>
    <t>5.4</t>
  </si>
  <si>
    <t>6.1</t>
  </si>
  <si>
    <t>6.2</t>
  </si>
  <si>
    <t>6.3</t>
  </si>
  <si>
    <t>X</t>
  </si>
  <si>
    <t>TỔNG SỐ HỌC PHẦN ĐẠT ĐƯỢC NLTP</t>
  </si>
  <si>
    <t>KHUNG NĂNG LỰC SỐ DÀNH CHO NGƯỜI HỌC (THÔNG TƯ 02/2025/TT-BGDĐT)</t>
  </si>
  <si>
    <t>I. DANH MỤC 6 MIỀN NĂNG LỰC SỐ VÀ 24 NĂNG LỰC THÀNH PHẦN (NLTP)</t>
  </si>
  <si>
    <t>Mã Miền</t>
  </si>
  <si>
    <t>Tên Miền Năng Lực</t>
  </si>
  <si>
    <t>Mã NLTP</t>
  </si>
  <si>
    <t>Tên Năng Lực Thành Phần (NLTP)</t>
  </si>
  <si>
    <t>Mô Tả Năng Lực Thành Phần</t>
  </si>
  <si>
    <t>Khai thác dữ liệu và thông tin</t>
  </si>
  <si>
    <t>Duyệt, tìm kiếm và lọc dữ liệu, thông tin và nội dung số</t>
  </si>
  <si>
    <t>Xác định được nhu cầu thông tin; tìm kiếm được dữ liệu, thông tin và nội dung trong môi trường số; truy cập chúng và khai thác được kết quả tìm kiếm. Tạo và cập nhật được chiến lược tìm kiếm.</t>
  </si>
  <si>
    <t>Đánh giá dữ liệu, thông tin và nội dung số</t>
  </si>
  <si>
    <t>Phân tích, so sánh và đánh giá được độ tin cậy và tính xác thực của nguồn dữ liệu, thông tin và nội dung số. Phân tích, giải thích và đánh giá được dữ liệu, thông tin và nội dung số.</t>
  </si>
  <si>
    <t>Quản lý dữ liệu, thông tin và nội dung số</t>
  </si>
  <si>
    <t>Tổ chức, lưu trữ và truy xuất được dữ liệu, thông tin và nội dung trong môi trường số. Tổ chức và sắp xếp được chúng trong một môi trường có cấu trúc.</t>
  </si>
  <si>
    <t>Giao tiếp và hợp tác trong môi trường số</t>
  </si>
  <si>
    <t>Tương tác thông qua công nghệ số</t>
  </si>
  <si>
    <t>Tương tác thông qua các công nghệ số khác nhau và nhận biết được phương tiện giao tiếp số nào phù hợp cho một bối cảnh cụ thể.</t>
  </si>
  <si>
    <t>Chia sẻ thông tin và nội dung thông qua công nghệ số</t>
  </si>
  <si>
    <t>Chia sẻ dữ liệu, thông tin và nội dung số với người khác thông qua các công nghệ số phù hợp. Đóng vai trò là người trung gian, hiểu biết về thực hành trích dẫn và ghi chú nguồn.</t>
  </si>
  <si>
    <t>Sử dụng công nghệ số để thực hiện trách nhiệm công dân</t>
  </si>
  <si>
    <t>Tham gia đóng góp cho xã hội thông qua việc sử dụng các dịch vụ số công và tư. Tìm kiếm được cơ hội, để trao quyền và thu hút công dân thông qua các công nghệ số phù hợp.</t>
  </si>
  <si>
    <t>Hợp tác thông qua công nghệ số</t>
  </si>
  <si>
    <t>Sử dụng được các công cụ và công nghệ số cho các quá trình hợp tác cũng như để cùng xây dựng và đồng sáng tạo dữ liệu, tài nguyên và kiến thức.</t>
  </si>
  <si>
    <t>Thực hiện quy tắc ứng xử trên mạng</t>
  </si>
  <si>
    <t>Nhận thức được các chuẩn mực hành vi và kiến thức khi sử dụng công nghệ số và tương tác trong môi trường số. Điều chỉnh được các chiến lược giao tiếp phù hợp với đối tượng cụ thể và nhận thức được sự đa dạng về văn hóa và thế hệ trong môi trường số.</t>
  </si>
  <si>
    <t>Quản lý danh tính số</t>
  </si>
  <si>
    <t>Tạo và quản lý được một hoặc nhiều danh tính số để bảo vệ danh tiếng của bản thân, làm việc với dữ liệu mà một người tạo ra bằng nhiều công cụ, môi trường và dịch vụ số.</t>
  </si>
  <si>
    <t>III</t>
  </si>
  <si>
    <t>Sáng tạo nội dung số</t>
  </si>
  <si>
    <t>Phát triển nội dung số</t>
  </si>
  <si>
    <t>Tạo và chỉnh sửa được nội dung số ở các định dạng khác nhau, nhằm thể hiện bản thân thông qua các phương tiện số.</t>
  </si>
  <si>
    <t>Tích hợp và tạo lập lại nội dung số</t>
  </si>
  <si>
    <t>Sửa đổi, tinh chỉnh và tích hợp được thông tin và nội dung mới vào khối kiến thức và tài nguyên hiện có để tạo ra nội dung và kiến thức mới, độc đáo và phù hợp.</t>
  </si>
  <si>
    <t>Thực thi bản quyền và giấy phép</t>
  </si>
  <si>
    <t>Hiểu được cách áp dụng bản quyền và giấy phép cho thông tin và nội dung số.</t>
  </si>
  <si>
    <t>Lập trình</t>
  </si>
  <si>
    <t>Lập kế hoạch và phát triển được một chuỗi các câu lệnh dễ hiểu cho một hệ thống máy tính để giải quyết một vấn đề nhất định hoặc thực hiện một nhiệm vụ cụ thể.</t>
  </si>
  <si>
    <t>IV</t>
  </si>
  <si>
    <t>An toàn số</t>
  </si>
  <si>
    <t>Bảo vệ thiết bị</t>
  </si>
  <si>
    <t>Bảo vệ được các thiết bị và nội dung số cũng như hiểu rõ các rủi ro và mối đe dọa trong môi trường kỹ thuật số. Biết được các biện pháp an toàn và bảo mật cũng như có sự quan tâm đúng mức đến độ tin cậy và quyền riêng tư.</t>
  </si>
  <si>
    <t>Bảo vệ dữ liệu cá nhân và quyền riêng tư</t>
  </si>
  <si>
    <t>Bảo vệ được dữ liệu cá nhân và quyền riêng tư trong môi trường số. Hiểu được cách sử dụng và chia sẻ thông tin định danh cá nhân một cách an toàn...</t>
  </si>
  <si>
    <t>Bảo vệ sức khỏe và an sinh số</t>
  </si>
  <si>
    <t>Tránh được rủi ro và đe dọa đến sức khỏe thể chất và tinh thần khi sử dụng công nghệ số. Bảo vệ được bản thân và người khác khỏi nguy cơ trong môi trường số...</t>
  </si>
  <si>
    <t>Bảo vệ môi trường</t>
  </si>
  <si>
    <t>Nhận thức được tác động của công nghệ số và việc sử dụng công nghệ số đối với môi trường.</t>
  </si>
  <si>
    <t>Giải quyết vấn đề bằng công nghệ số</t>
  </si>
  <si>
    <t>Giải quyết các vấn đề kỹ thuật</t>
  </si>
  <si>
    <t>Xác định được các vấn đề kỹ thuật khi vận hành thiết bị, sử dụng môi trường số và giải quyết chúng...</t>
  </si>
  <si>
    <t>Xác định nhu cầu và giải pháp công nghệ</t>
  </si>
  <si>
    <t>Đánh giá được nhu cầu và xác định, đánh giá, lựa chọn, sử dụng các công cụ số cùng với các giải pháp công nghệ khả thi để giải quyết chúng...</t>
  </si>
  <si>
    <t>Sử dụng sáng tạo công nghệ số</t>
  </si>
  <si>
    <t>Sử dụng được các công cụ và công nghệ số để tạo ra kiến thức, đổi mới quy trình và sản phẩm...</t>
  </si>
  <si>
    <t>Xác định các vấn đề cần cải thiện về năng lực số</t>
  </si>
  <si>
    <t>Hiểu được năng lực số của chính mình cần được cải thiện hoặc cập nhật ở đâu. Có thể hỗ trợ người khác phát triển năng lực số của họ...</t>
  </si>
  <si>
    <t>Ứng dụng Trí tuệ nhân tạo (AI)</t>
  </si>
  <si>
    <t>Hiểu biết về AI (trong đó có GenAI)</t>
  </si>
  <si>
    <t>Hiểu được cách AI ảnh hưởng đến cuộc sống hằng ngày và vai trò của AI trong các lĩnh vực khác nhau. Nắm vững được nguyên tắc hoạt động của AI, khả năng và hạn chế của AI.</t>
  </si>
  <si>
    <t>Sử dụng AI có đạo đức và trách nhiệm</t>
  </si>
  <si>
    <t>Sử dụng hiệu quả các hệ thống AI và hiểu rõ ứng dụng thực tế của chúng. Sử dụng được AI để tạo nội dung, khám phá kiến thức và giải quyết các vấn đề...</t>
  </si>
  <si>
    <t>Đánh giá các công cụ AI</t>
  </si>
  <si>
    <t>Đánh giá và lọc thông tin từ các nguồn được tạo ra hoặc xử lý bằng AI, để hiểu rõ hơn về tính đáng tin cậy và cách sử dụng thông tin đó...</t>
  </si>
  <si>
    <t>II. BẢNG MÔ TẢ CÁC MỨC ĐỘ NĂNG LỰC SỐ (MỨC 1 - 6)</t>
  </si>
  <si>
    <t>Cấp độ</t>
  </si>
  <si>
    <t>Mức độ</t>
  </si>
  <si>
    <t>Tên Mức Độ</t>
  </si>
  <si>
    <t>Mô tả khả năng thực hiện của người học</t>
  </si>
  <si>
    <t>Cơ bản</t>
  </si>
  <si>
    <t>Mức 1</t>
  </si>
  <si>
    <t>Nhận biết / Tiếp cận</t>
  </si>
  <si>
    <t>Thực hiện được các nhiệm vụ đơn giản với sự hướng dẫn trực tiếp trong môi trường số quen thuộc.</t>
  </si>
  <si>
    <t>Mức 2</t>
  </si>
  <si>
    <t>Thông hiểu / Thực hành đơn giản</t>
  </si>
  <si>
    <t>Tự thực hiện được các nhiệm vụ đơn giản, thường nhật trong môi trường số có bối cảnh rõ ràng.</t>
  </si>
  <si>
    <t>Trung cấp</t>
  </si>
  <si>
    <t>Vận dụng / Tự chủ</t>
  </si>
  <si>
    <t>Độc lập lựa chọn và áp dụng công cụ số phù hợp để giải quyết vấn đề thực tế trong học tập và công việc.</t>
  </si>
  <si>
    <t>Phân tích / Phức hợp</t>
  </si>
  <si>
    <t>Giải quyết các nhiệm vụ phức tạp, phân tích dữ liệu và hợp tác thích ứng trong môi trường số biến động.</t>
  </si>
  <si>
    <t>Cao cấp</t>
  </si>
  <si>
    <t>Đánh giá / Sáng tạo</t>
  </si>
  <si>
    <t>Đánh giá giải pháp công nghệ, sáng tạo sản phẩm số nâng cao, tối ưu hóa quy trình chuyên môn.</t>
  </si>
  <si>
    <t>Mức 6</t>
  </si>
  <si>
    <t>Chuyên gia / Đổi mới dẫn dắt</t>
  </si>
  <si>
    <t>Nghiên cứu, làm chủ công nghệ mới, thiết kế hệ thống số quy mô lớn và dẫn dắt chuyển đổi số.</t>
  </si>
  <si>
    <t>ĐỀ XUẤT NỘI DUNG CẦN BỔ SUNG &amp; HƯỚNG DẪN THU THẬP MINH CHỨNG ĐẠT KHUNG NĂNG LỰC SỐ</t>
  </si>
  <si>
    <t>Căn cứ Thông tư 02/2025/TT-BGDĐT | Giải pháp nâng cao độ phủ các Miền NLS (đặc biệt Miền IV - An toàn số, Miền VI - AI &amp; Miền III - Bản quyền) cho CTDT CNTT 2026</t>
  </si>
  <si>
    <t>Mã HP</t>
  </si>
  <si>
    <t>Miền NLS Cần Bổ Sung / Nâng Cấp</t>
  </si>
  <si>
    <t>Nội Dung Cần Bổ Sung (Cần Phải Có)</t>
  </si>
  <si>
    <t>Hoạt Động Dạy &amp; Học Đề Xuất</t>
  </si>
  <si>
    <t>Cách Lấy Minh Chứng (Evidence Collection)</t>
  </si>
  <si>
    <t>Mức Độ Hướng Đến</t>
  </si>
  <si>
    <t>Miền IV - An toàn số
Miền VI - Ứng dụng AI</t>
  </si>
  <si>
    <t>4.2
6.2</t>
  </si>
  <si>
    <t>• Kỹ năng nhận diện và phòng chống lừa đảo trực tuyến (Phishing, mã độc, bảo vệ mật khẩu, 2FA).
• Nguyên tắc sử dụng GenAI (ChatGPT/Gemini) có trách nhiệm, liêm chính học thuật và kiểm chứng nguồn tin.</t>
  </si>
  <si>
    <t>• Thực hành cấu hình xác thực 2 bước (2FA) cho tài khoản email/mạng xã hội.
• Bài tập so sánh câu trả lời của AI với giáo trình chuẩn để phát hiện ảo giác (hallucination).</t>
  </si>
  <si>
    <t>• Phiếu nộp bài tập có ảnh chụp màn hình kích hoạt 2FA thành công.
• Bài thu hoạch so sánh thông tin có kèm đường dẫn nguồn tra cứu đối chiếu.</t>
  </si>
  <si>
    <t>Miền VI - Ứng dụng AI
Miền II - Quy tắc số</t>
  </si>
  <si>
    <t>6.1
2.5</t>
  </si>
  <si>
    <t>• Tổng quan tác động của AI/GenAI đến sự biến đổi của nghề nghiệp CNTT.
• Văn hóa ứng xử số, bản quyền tác giả và đạo đức nghề nghiệp của kỹ sư công nghệ.</t>
  </si>
  <si>
    <t>• Seminar thảo luận về cơ hội &amp; thách thức của AI đối với lập trình viên.
• Viết bài tham luận cá nhân về đạo đức nghề nghiệp CNTT.</t>
  </si>
  <si>
    <t>• Bài tham luận/tiểu luận cá nhân nộp qua LMS.
• Bản cam kết liêm chính học thuật và đạo đức số có chữ ký sinh viên.</t>
  </si>
  <si>
    <t>Mức 2 - Mức 3</t>
  </si>
  <si>
    <t>4.1
6.2</t>
  </si>
  <si>
    <t>• Khái niệm lập trình an toàn: kiểm soát tính hợp lệ dữ liệu nhập (Input Validation), xử lý ngoại lệ tránh crash chương trình.
• Dùng trợ lý AI hỗ trợ giải thích lỗi cú pháp và gợi ý hướng sửa (AI Debugging assistant).</t>
  </si>
  <si>
    <t>• Thực hành viết bộ test case kiểm thử các trường hợp dữ liệu biên nguy hiểm.
• Thực hành Prompting: Đưa lỗi cho AI phân tích, sau đó tự tay refactor lại mã nguồn.</t>
  </si>
  <si>
    <t>• Mã nguồn bài nộp có khối lệnh `try...except` và hàm kiểm tra dữ liệu đầu vào.
• File nhật ký (Prompt Log) ghi lại câu lệnh hỏi AI và các bước chỉnh sửa code.</t>
  </si>
  <si>
    <t>Miền IV - An toàn số
Miền IV - Môi trường</t>
  </si>
  <si>
    <t>4.1
4.4</t>
  </si>
  <si>
    <t>• Cấu hình bảo mật phần cứng: Mật khẩu BIOS/UEFI, kích hoạt Secure Boot và TPM 2.0.
• Giải pháp tối ưu tiêu thụ điện năng và quy chuẩn thu gom, xử lý rác thải điện tử (E-waste).</t>
  </si>
  <si>
    <t>• Thực hành trực tiếp trong phòng Lab bật Secure Boot và đặt mật khẩu bảo vệ BIOS.
• Thảo luận case study về bảo vệ môi trường khi thanh lý thiết bị số.</t>
  </si>
  <si>
    <t>• Checklist đánh giá kỹ năng phòng Lab có xác nhận của giảng viên hướng dẫn.
• Ảnh chụp màn hình BIOS/UEFI đã bật Secure Boot và TPM.</t>
  </si>
  <si>
    <t>Miền III - Bản quyền
Miền II - Hợp tác số</t>
  </si>
  <si>
    <t>3.3
2.4</t>
  </si>
  <si>
    <t>• Tìm hiểu sâu các loại giấy phép mã nguồn mở (GPL, MIT, Apache, Creative Commons) và rủi ro vi phạm bản quyền.
• Quy trình làm việc nhóm mã nguồn mở chuyên nghiệp trên GitHub (Fork, Pull Request, Issue).</t>
  </si>
  <si>
    <t>• Đồ án nhóm triển khai website mã nguồn mở có công khai kho mã nguồn trên GitHub kèm License rõ ràng.
• Thực hiện review chéo mã nguồn giữa các thành viên.</t>
  </si>
  <si>
    <t>• File `LICENSE` được đính kèm đúng chuẩn trong kho GitHub của nhóm.
• Lịch sử Pull Request và các lượt review/comment trực tiếp trên nền tảng GitHub.</t>
  </si>
  <si>
    <t>Mức 3 - Mức 4</t>
  </si>
  <si>
    <t>Miền IV - An toàn số
Miền V - Giải quyết lỗi</t>
  </si>
  <si>
    <t>4.1
5.1</t>
  </si>
  <si>
    <t>• An toàn điện và chống quá áp/ngắn mạch cho thiết bị IoT.
• Bảo mật vật lý cho mạch điều khiển và các cổng nạp chương trình (JTAG/UART).</t>
  </si>
  <si>
    <t>• Thực hành lắp ráp mạch có tích hợp linh kiện bảo vệ (cầu chì, diode bảo vệ ngược cực).
• Đo kiểm và ghi nhận thông số mạch bằng dao động ký số/đồng hồ vạn năng.</t>
  </si>
  <si>
    <t>• Sơ đồ nguyên lý mạch (Schematic) có thể hiện linh kiện bảo vệ.
• Biên bản nghiệm thu mạch thực hành đo kiểm thông số đạt tiêu chuẩn an toàn.</t>
  </si>
  <si>
    <t>Miền VI - Vibe Coding
Miền IV - Lập trình an toàn</t>
  </si>
  <si>
    <t>6.2
6.3
4.2</t>
  </si>
  <si>
    <t>• Quy trình Vibe Coding chuẩn mực: Kỹ nghệ viết prompt sinh mã Python tối ưu, đọc hiểu và thẩm định độc lập mã do AI tạo.
• Phòng chống rò rỉ dữ liệu qua file tạm hoặc biến không được giải phóng.</t>
  </si>
  <si>
    <t>• Mini-hackathon lập trình: Sinh viên sử dụng Copilot/Cursor giải bài toán phức tạp, sau đó phản biện và tối ưu hóa giải thuật.
• Bài tập viết lại mã nguồn do AI sinh để đạt chuẩn Clean Code (PEP8).</t>
  </si>
  <si>
    <t>• File mã nguồn hoàn thiện kèm file Prompt Log (nhật ký tương tác với trợ lý AI).
• Bản phân tích so sánh độ phức tạp Big-O trước và sau khi refactor mã nguồn.</t>
  </si>
  <si>
    <t>Miền VI - AI Design
Miền IV - Quyền riêng tư</t>
  </si>
  <si>
    <t>6.2
4.2</t>
  </si>
  <si>
    <t>• Khai thác công cụ AI (Midjourney, Figma AI) để tạo moodboard, ý tưởng giao diện nhanh.
• Nguyên lý thiết kế giao diện bảo vệ quyền riêng tư (Privacy by Design): Luồng thông báo chấp thuận dữ liệu (Consent), trang cài đặt bảo mật cá nhân.</t>
  </si>
  <si>
    <t>• Thực hành thiết kế Prototype trên Figma bao gồm màn hình cài đặt quyền riêng tư và điều khoản dữ liệu.
• Sử dụng AI hỗ trợ sinh bảng phối màu và bộ icon theo tiêu chuẩn tiếp cận.</t>
  </si>
  <si>
    <t>• Link sản phẩm Figma Prototype tương tác đầy đủ.
• Báo cáo thuyết minh thiết kế có danh mục ghi nhận các asset/hình ảnh do AI tạo.</t>
  </si>
  <si>
    <t>Miền IV - An toàn Web
Miền III - Nội dung số</t>
  </si>
  <si>
    <t>4.2
3.1</t>
  </si>
  <si>
    <t>• Lập trình giao diện web an toàn: Lọc và làm sạch dữ liệu form nhập phía Client (Sanitize Input) chống XSS cơ bản.
• Đảm bảo tiêu chuẩn tiếp cận Web Accessibility (WCAG 2.1) và tối ưu SEO kỹ thuật.</t>
  </si>
  <si>
    <t>• Xây dựng website Responsive có áp dụng kiểm tra hợp lệ dữ liệu bằng HTML5 &amp; JavaScript.
• Chạy kiểm toán website bằng công cụ Google Lighthouse.</t>
  </si>
  <si>
    <t>• Báo cáo kết quả kiểm toán Google Lighthouse đạt điểm xanh (trên 85 điểm Accessibility &amp; Best Practices).
• Mã nguồn xử lý kiểm tra và mã hóa ký tự đặc biệt trong form dữ liệu.</t>
  </si>
  <si>
    <t>Miền IV - An toàn mạng
Miền V - Khắc phục sự cố</t>
  </si>
  <si>
    <t>4.1
4.2
5.1</t>
  </si>
  <si>
    <t>• Các mối đe dọa an ninh mạng cơ bản (Man-in-the-Middle, Spoofing, Broadcast Storm).
• Cấu hình bảo vệ cổng Switch (Port Security) và phân đoạn mạng qua VLAN cô lập truy cập.</t>
  </si>
  <si>
    <t>• Thực hành bài lab trên Cisco Packet Tracer cấu hình Port Security khóa cổng khi có MAC lạ.
• Phân tích luồng gói tin bằng Wireshark để nhận biết dữ liệu truyền dạng rõ (Clear text) so với mã hóa.</t>
  </si>
  <si>
    <t>• File bài làm thực hành `.pkt` có cấu hình Port Security và phân chia VLAN.
• Báo cáo chụp màn hình gói tin phân tích Wireshark kèm lời giải thích rủi ro bảo mật.</t>
  </si>
  <si>
    <t>Miền IV - An toàn CSDL
Miền I - Quản trị dữ liệu</t>
  </si>
  <si>
    <t>4.2
1.3</t>
  </si>
  <si>
    <t>• Phòng chống tấn công SQL Injection thông qua viết truy vấn tham số hóa (Parameterized Query/Prepared Statement).
• Phân quyền người dùng theo vai trò (Role-based Access Control - RBAC) và chiến lược sao lưu dữ liệu (Full, Differential).</t>
  </si>
  <si>
    <t>• Thực hành demo lỗ hổng SQL Injection trên ứng dụng mẫu và viết lại câu truy vấn an toàn.
• Viết script SQL thực hiện phân quyền người dùng và sao lưu định kỳ CSDL.</t>
  </si>
  <si>
    <t>• Video/ảnh chụp thực nghiệm khai thác và khắc phục thành công lỗi SQL Injection.
• File script SQL chứa các lệnh `GRANT`, `REVOKE` và file backup CSDL `.bak`/`.sql`.</t>
  </si>
  <si>
    <t>Miền V - Tối ưu hóa
Miền VI - AI Testing</t>
  </si>
  <si>
    <t>5.1
6.3</t>
  </si>
  <si>
    <t>• Tối ưu hóa độ phức tạp thời gian và không gian bộ nhớ của giải thuật.
• Ứng dụng trợ lý AI để sinh các bộ dữ liệu kiểm thử khắc nghiệt (Edge Cases / Stress Testing) nhằm tìm ra lỗ hổng của thuật toán.</t>
  </si>
  <si>
    <t>• Sinh viên nộp bài tập lập trình qua hệ thống chấm tự động (Auto-grader / LeetCode / Judge).
• Thực hiện đo thời gian thực thi (Benchmark) giữa các phương án thuật toán khác nhau.</t>
  </si>
  <si>
    <t>• Bảng kết quả chấm tự động từ hệ thống Auto-grader đạt 100% test cases.
• Báo cáo phân tích so sánh biểu đồ thời gian thực thi (Runtime) trên các kích thước dữ liệu lớn.</t>
  </si>
  <si>
    <t>Miền II - Hợp tác số
Miền V - Sáng tạo kỹ thuật</t>
  </si>
  <si>
    <t>2.4
5.3</t>
  </si>
  <si>
    <t>• Quản lý tiến độ dự án kỹ thuật số hóa: Sử dụng bảng Kanban (Trello, Jira) và lưu trữ tài liệu nhóm trên Cloud.
• Ứng dụng tư duy thiết kế (Design Thinking) để sáng tạo giải pháp công nghệ đáp ứng nhu cầu thực tế.</t>
  </si>
  <si>
    <t>• Dự án nhóm theo chuẩn EPICS: Tổ chức họp Sprint định kỳ, cập nhật task trên Jira/Trello hàng tuần.
• Thuyết trình sản phẩm kỹ thuật giải quyết vấn đề của cộng đồng địa phương.</t>
  </si>
  <si>
    <t>• Ảnh chụp màn hình bảng Kanban hoàn thành các Sprint của nhóm qua các tuần.
• Báo cáo dự án nhóm hoàn chỉnh kèm video demo giải pháp kỹ thuật.</t>
  </si>
  <si>
    <t>Miền IV - An ninh CSDL
Miền I - Quản lý CSDL</t>
  </si>
  <si>
    <t>• Mã hóa dữ liệu tĩnh và truyền tải (Transparent Data Encryption - TDE, SSL/TLS connection).
• Thiết lập hệ thống kiểm toán CSDL (Database Audit Log) để ghi nhận và truy vết các hành vi truy cập trái phép.</t>
  </si>
  <si>
    <t>• Bài lab thực hành cấu hình mã hóa cột dữ liệu nhạy cảm (mật khẩu, số căn cước, số tài khoản).
• Phân tích bảng nhật ký Audit Log để truy vết một hành vi sửa đổi dữ liệu trái phép.</t>
  </si>
  <si>
    <t>• File script cấu hình Audit và mã hóa dữ liệu trên hệ quản trị SQL Server/MySQL.
• Báo cáo trích xuất nhật ký kiểm toán chứng minh hệ thống ghi vết đầy đủ.</t>
  </si>
  <si>
    <t>Miền IV - An toàn Client
Miền VI - AI Coding</t>
  </si>
  <si>
    <t>• Lưu trữ an toàn phía Client: Sử dụng HttpOnly Cookie thay cho LocalStorage đối với Token nhạy cảm.
• Tận dụng công cụ AI (v0.dev, Cursor) để sinh nhanh Component React và tùy biến tối ưu lại mã.</t>
  </si>
  <si>
    <t>• Xây dựng SPA (React/Next.js) có bảo vệ route (Protected Routes) và xác thực an toàn.
• Bài tập đánh giá, làm sạch mã nguồn Component do AI sinh ra.</t>
  </si>
  <si>
    <t>• Mã nguồn React thể hiện cơ chế quản lý Token an toàn và chặn truy cập trái phép.
• Bản thuyết minh các thành phần giao diện đã được chuẩn hóa lại từ bản gợi ý của AI.</t>
  </si>
  <si>
    <t>Miền III - Lập trình chuẩn
Miền VI - AI Refactoring</t>
  </si>
  <si>
    <t>3.4
6.3</t>
  </si>
  <si>
    <t>• Thực thi các nguyên lý thiết kế hướng đối tượng SOLID để giảm phụ thuộc mã nguồn.
• Sử dụng AI để rà soát 'mùi mã nguồn' (Code Smells), đề xuất giải pháp Refactoring tái cấu trúc các lớp phức tạp.</t>
  </si>
  <si>
    <t>• Đồ án mini thiết kế mô hình hướng đối tượng chuẩn hóa bằng UML và hiện thực bằng Python/C++.
• Thực hành Prompt AI yêu cầu phân tích điểm yếu kiến trúc và tự tay sửa đổi theo SOLID.</t>
  </si>
  <si>
    <t>• Sơ đồ lớp UML chi tiết khớp 100% với kiến trúc mã nguồn bài nộp.
• Báo cáo so sánh các chỉ số chất lượng mã nguồn trước và sau khi refactor cùng AI.</t>
  </si>
  <si>
    <t>Miền IV - An toàn mạng
Miền V - Giải pháp mạng</t>
  </si>
  <si>
    <t>4.1
4.2
5.2</t>
  </si>
  <si>
    <t>• Thiết lập chính sách kiểm soát truy cập nâng cao: Extended Access Control Lists (ACLs) theo port và giao thức.
• Triển khai mạng riêng ảo VPN Site-to-Site và Remote Access với giao thức mã hóa IPSec.</t>
  </si>
  <si>
    <t>• Thực hành cấu hình Router lọc gói tin theo cổng dịch vụ (chặn Telnet, chỉ mở SSH/HTTPS).
• Thiết lập đường hầm VPN IPSec an toàn giữa 2 chi nhánh trên hệ thống thiết bị Cisco.</t>
  </si>
  <si>
    <t>• File cấu hình router (running-config) có chứa chính sách ACL và VPN Crypto.
• File bắt gói tin Wireshark chứng minh các gói tin đi qua VPN đã được mã hóa toàn bộ ESP payload.</t>
  </si>
  <si>
    <t>Mức 4 - Mức 5</t>
  </si>
  <si>
    <t>Miền IV - Bảo mật API
Miền III - Tích hợp hệ thống</t>
  </si>
  <si>
    <t>4.2
3.2</t>
  </si>
  <si>
    <t>• Bảo mật Web API: Cơ chế xác thực OAuth 2.0 / JWT, mã hóa mật khẩu bằng thuật toán Bcrypt/Argon2.
• Phòng chống tấn công Brute Force bằng kỹ thuật giới hạn tần suất gọi API (Rate Limiting) và CORS chặt chẽ.</t>
  </si>
  <si>
    <t>• Xây dựng RESTful API hoàn chỉnh với Node.js/Python có tích hợp middleware kiểm tra quyền và mã hóa mật khẩu.
• Kiểm thử tự động tính bảo mật của API bằng công cụ Postman / OWASP ZAP.</t>
  </si>
  <si>
    <t>• Collection test case trong Postman kiểm tra việc từ chối request không có Token hoặc sai quyền (401/403).
• File mã nguồn Middleware xác thực JWT và file cấu hình biến môi trường an toàn `.env.example`.</t>
  </si>
  <si>
    <t>Miền IV - Quyền riêng tư di động
Miền VI - AI trên di động</t>
  </si>
  <si>
    <t>• Quản lý quyền truy cập nhạy cảm (Runtime Permissions) theo tiêu chuẩn bảo mật Google Play (Camera, Location, Storage).
• Tích hợp mô hình AI thông minh dạng nhúng (On-device AI với TensorFlow Lite) chạy ngoại tuyến.</t>
  </si>
  <si>
    <t>• Xây dựng ứng dụng di động có xin cấp quyền người dùng đúng ngữ cảnh sử dụng.
• Tích hợp tính năng phân loại hình ảnh / nhận dạng giọng nói ngoại tuyến trên thiết bị.</t>
  </si>
  <si>
    <t>• File `AndroidManifest.xml` thể hiện nguyên tắc cấp quyền tối thiểu cần thiết.
• Video demo ứng dụng hoạt động chính xác tính năng AI ngay cả khi tắt toàn bộ kết nối mạng Internet.</t>
  </si>
  <si>
    <t>Miền IV - DevSecOps
Miền V - CI/CD &amp; Vận hành</t>
  </si>
  <si>
    <t>4.2
5.1</t>
  </si>
  <si>
    <t>• Tích hợp kiểm thử bảo mật vào quy trình CI/CD (DevSecOps) để tự động quét lỗ hổng mã nguồn (SAST/DAST).
• Quản lý biến môi trường bí mật (Secrets Management) an toàn trên nền tảng Cloud (Vercel, AWS).</t>
  </si>
  <si>
    <t>• Cấu hình quy trình tự động hóa GitHub Actions: Tự động chạy unit test và quét mã nguồn khi tạo Pull Request.
• Triển khai ứng dụng hoàn chỉnh có chứng chỉ bảo mật HTTPS hợp lệ.</t>
  </si>
  <si>
    <t>• File cấu hình CI/CD workflow `.github/workflows/deploy.yml`.
• Link website thực tế đang hoạt động có chứng chỉ bảo mật SSL/HTTPS (khóa xanh) và báo cáo quét bảo mật sạch.</t>
  </si>
  <si>
    <t>Quản trị website trên VPS</t>
  </si>
  <si>
    <t>Miền IV - An toàn máy chủ VPS
Miền V - Khắc phục sự cố</t>
  </si>
  <si>
    <t>• Hardening bảo mật hệ điều hành Linux: Vô hiệu hóa mật khẩu SSH, chỉ đăng nhập bằng khóa SSH Key cá nhân.
• Cấu hình tường lửa UFW (Uncomplicated Firewall), công cụ chống dò mật khẩu Fail2ban và chứng chỉ SSL Let's Encrypt.</t>
  </si>
  <si>
    <t>• Sinh viên thực hành trực tiếp trên máy chủ VPS: Thiết lập SSH Key, đóng toàn bộ các cổng không dùng, bật tường lửa.
• Cấu hình dịch vụ Nginx làm Reverse Proxy an toàn với giao thức HTTP/2 và SSL.</t>
  </si>
  <si>
    <t>• Báo cáo quét lỗ hổng từ công cụ Nmap từ máy bên ngoài chứng minh chỉ mở đúng 2 cổng 80 và 443.
• File cấu hình Nginx Server Block có bật các header bảo mật HTTP (HSTS, X-Frame-Options, CSP).</t>
  </si>
  <si>
    <t>Miền VI - AI Testing
Miền IV - Kiểm thử an toàn</t>
  </si>
  <si>
    <t>6.3
4.1</t>
  </si>
  <si>
    <t>• Sử dụng công cụ AI để tự động tạo kịch bản kiểm thử (Test Scripts) và phát hiện các trường hợp kiểm thử bị bỏ sót.
• Kiểm thử bảo mật ứng dụng web cơ bản (Penetration Testing) bằng công cụ OWASP ZAP.</t>
  </si>
  <si>
    <t>• Viết kịch bản kiểm thử tự động (Automation Testing) bằng Cypress / Playwright có sự hỗ trợ của AI.
• Chạy quét lỗ hổng tự động trên ứng dụng web và lập báo cáo khắc phục lỗi (Defect Report).</t>
  </si>
  <si>
    <t>• Bộ mã nguồn Automation Test Scripts có chú thích phần kịch bản do AI gợi ý.
• Báo cáo kiểm thử bảo mật (Vulnerability Assessment Report) phân loại theo chuẩn OWASP Top 10.</t>
  </si>
  <si>
    <t>Miền I - Quản lý dữ liệu lớn
Miền IV - Bảo vệ dữ liệu</t>
  </si>
  <si>
    <t>1.3
4.2</t>
  </si>
  <si>
    <t>• Kỹ thuật làm sạch và ẩn danh hóa dữ liệu (Data Anonymization / Masking) trước khi phân tích nhằm bảo vệ quyền riêng tư.
• Thu thập dữ liệu qua API tuân thủ hạn ngạch truy vấn (Rate Limit) và bản quyền dữ liệu số.</t>
  </si>
  <si>
    <t>• Bài tập lớn xử lý bộ dữ liệu thực tế: Thực hiện ẩn danh hóa thông tin cá nhân (họ tên, email, sđt) bằng Python Pandas.
• Tối ưu hóa bộ nhớ khi xử lý tập dữ liệu hàng triệu dòng.</t>
  </si>
  <si>
    <t>• Jupyter Notebook hoàn chỉnh thể hiện các bước làm sạch, ẩn danh hóa và thống kê dữ liệu.
• File dữ liệu sau khi xử lý không còn lưu giữ thông tin định danh cá nhân nhạy cảm.</t>
  </si>
  <si>
    <t>Miền III - Trực quan hóa
Miền II - Truyền thông số</t>
  </si>
  <si>
    <t>3.1
2.2</t>
  </si>
  <si>
    <t>• Xây dựng Dashboard tương tác hỗ trợ ra quyết định kinh doanh trên Power BI / Tableau.
• Kỹ năng truyền đạt thông điệp số (Data Storytelling): Biến đổi số liệu phức tạp thành biểu đồ trực quan, dễ hiểu.</t>
  </si>
  <si>
    <t>• Đồ án thiết kế Dashboard dữ liệu thực tế kết hợp các biểu đồ phân tích đa chiều.
• Thuyết trình báo cáo phân tích trước hội đồng hoặc qua video thuyết minh số.</t>
  </si>
  <si>
    <t>• File thiết kế Dashboard tương tác (.pbix hoặc link Tableau Public tương tác trực tiếp).
• Video bài thuyết trình phân tích dữ liệu độ dài 5-7 phút của sinh viên.</t>
  </si>
  <si>
    <t>Miền VI - AI Nâng cao
Miền IV - An toàn AI</t>
  </si>
  <si>
    <t>6.1
6.2
6.3
4.2</t>
  </si>
  <si>
    <t>• Kỹ nghệ gợi ý nâng cao (Few-shot, Chain-of-Thought Prompting), kiến trúc RAG và xây dựng Multi-Agent tự động.
• An toàn và đạo đức AI: Phòng chống tấn công Prompt Injection, cơ chế kiểm duyệt nội dung (Guardrails) và kiểm soát ảo giác.</t>
  </si>
  <si>
    <t>• Đồ án phát triển tác tử AI (AI Agent) tự động giải quyết quy trình nghiệp vụ bằng LangChain/CrewAI.
• Kiểm thử tấn công thử nghiệm vào hệ thống AI và xây dựng lớp phòng thủ Guardrail.</t>
  </si>
  <si>
    <t>• Mã nguồn dự án AI Agent hoàn chỉnh có tích hợp cơ chế Guardrail ngăn chặn Prompt Injection.
• Báo cáo đánh giá độ chính xác, độ tin cậy và kiểm thử rủi ro đạo đức của sản phẩm AI.</t>
  </si>
  <si>
    <t>Toàn diện 6 Miền
(Đặc biệt Miền II &amp; IV)</t>
  </si>
  <si>
    <t>2.4
2.5
4.2
5.4</t>
  </si>
  <si>
    <t>• Tuân thủ nghiêm ngặt thỏa thuận bảo mật thông tin (NDA) và quy định an toàn dữ liệu số của doanh nghiệp thực tập.
• Rèn luyện kỹ năng làm việc nhóm kỹ thuật trong môi trường số thực tế (GitLab, Slack, Jira của công ty).</t>
  </si>
  <si>
    <t>• Sinh viên tham gia trực tiếp vào các dự án phần mềm/mạng thực tế tại doanh nghiệp.
• Tự đánh giá và xây dựng kế hoạch nâng cao năng lực số của bản thân sau kỳ thực tập.</t>
  </si>
  <si>
    <t>• Bản thỏa thuận cam kết bảo mật thông tin (NDA) có xác nhận của doanh nghiệp tiếp nhận.
• Bản nhận xét đánh giá năng lực làm việc thực tế và kỹ năng số do cán bộ hướng dẫn tại công ty ký tên đóng dấu.
• Báo cáo thực tập có mục tự đánh giá sự tiến bộ về năng lực số cá nhân.</t>
  </si>
  <si>
    <t>Toàn diện 6 Miền
(Đặc biệt Miền V &amp; VI)</t>
  </si>
  <si>
    <t>5.3
5.4
6.2
4.2</t>
  </si>
  <si>
    <t>• Ứng dụng sáng tạo các công nghệ số hiện đại (Full-stack, AI, IoT, Cloud) để xây dựng sản phẩm kỹ thuật hoàn chỉnh.
• Bắt buộc kê khai minh bạch việc sử dụng công cụ AI trong quá trình làm khóa luận (AI Usage Disclosure Statement) và kiểm chứng kết quả.</t>
  </si>
  <si>
    <t>• Thực hiện đồ án tốt nghiệp kỹ sư theo quy trình phát triển sản phẩm chuẩn công nghiệp.
• Bảo vệ sản phẩm và trả lời phản biện trước Hội đồng đánh giá tốt nghiệp.</t>
  </si>
  <si>
    <t>• Cuốn báo cáo khóa luận tốt nghiệp có riêng mục 'Tuyên bố về việc sử dụng công cụ Trí tuệ nhân tạo (AI)' nêu rõ phạm vi và công cụ đã dùng.
• Sản phẩm phần mềm/hệ thống thực tế đang vận hành ổn định kèm kho mã nguồn có commit log minh bạch.
• Biên bản chấm điểm và nhận xét của Hội đồng tốt nghiệp đánh giá năng lực giải quyết vấn đề bằng công nghệ.</t>
  </si>
  <si>
    <t>QUY TRÌNH &amp; NGUYÊN TẮC QUẢN LÝ MINH CHỨNG NĂNG LỰC SỐ PHỤC VỤ KIỂM ĐỊNH</t>
  </si>
  <si>
    <t>1. Nguyên tắc minh chứng số hóa (Digital Evidence):</t>
  </si>
  <si>
    <t>Toàn bộ bài nộp, mã nguồn, bài kiểm tra số của sinh viên phải được lưu trữ trên hệ thống LMS trường, kho mã nguồn GitHub Classroom hoặc ổ đĩa Cloud của Khoa để phục vụ truy xuất tức thì khi đoàn kiểm định yêu cầu.</t>
  </si>
  <si>
    <t>2. Minh chứng quá trình (Process Evidence):</t>
  </si>
  <si>
    <t>Không chỉ lưu sản phẩm cuối kỳ, cần lưu vết quá trình làm việc số của sinh viên như: Lịch sử commit Git, biểu đồ đóng góp thành viên, log trao đổi công việc trên Jira/Trello để chứng minh năng lực hợp tác số (NLTP 2.4).</t>
  </si>
  <si>
    <t>3. Minh chứng sử dụng AI có trách nhiệm (Ethical AI):</t>
  </si>
  <si>
    <t>Mọi sản phẩm có ứng dụng trợ lý AI (Vibe Coding, GenAI) phải có bản 'Tuyên bố sử dụng AI (AI Usage Declaration)' và file nhật ký Prompt Log để chứng minh năng lực làm chủ và thẩm định AI của người học (NLTP 6.2, 6.3).</t>
  </si>
  <si>
    <t>4. Minh chứng an toàn và bảo mật số (Security &amp; Privacy):</t>
  </si>
  <si>
    <t>Đối với các môn mạng, CSDL, web và VPS, minh chứng bắt buộc phải có ảnh chụp/video/log thể hiện cấu hình bảo mật thành công (SSL, Firewall, ACL, mã hóa dữ liệu) hoặc kết quả quét lỗ hổng đạt chuẩn (NLTP 4.1, 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</si>
</sst>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4"/>
      <color rgb="FF1F497D"/>
      <name val="Roboto"/>
    </font>
    <font>
      <i/>
      <sz val="10"/>
      <color rgb="FF595959"/>
      <name val="Roboto"/>
    </font>
    <font>
      <b/>
      <sz val="10"/>
      <color rgb="FFFFFFFF"/>
      <name val="Roboto"/>
    </font>
    <font>
      <b/>
      <sz val="10"/>
      <color rgb="FF276A3C"/>
      <name val="Roboto"/>
    </font>
    <font>
      <sz val="10"/>
      <name val="Roboto"/>
    </font>
    <font>
      <b/>
      <sz val="10"/>
      <color rgb="FF1F497D"/>
      <name val="Roboto"/>
    </font>
    <font>
      <b/>
      <sz val="10"/>
      <name val="Roboto"/>
    </font>
    <font>
      <b/>
      <sz val="11"/>
      <color rgb="FF1F497D"/>
      <name val="Roboto"/>
    </font>
    <font>
      <b/>
      <sz val="9.5"/>
      <color rgb="FFC65911"/>
      <name val="Roboto"/>
    </font>
    <font>
      <b/>
      <sz val="9.5"/>
      <name val="Roboto"/>
    </font>
    <font>
      <sz val="9.5"/>
      <name val="Roboto"/>
    </font>
    <font>
      <b/>
      <sz val="9.5"/>
      <color rgb="FF276A3C"/>
      <name val="Roboto"/>
    </font>
    <font>
      <b/>
      <sz val="9.5"/>
      <color rgb="FFB25900"/>
      <name val="Roboto"/>
    </font>
    <font>
      <b/>
      <sz val="9.5"/>
      <color rgb="FF1F497D"/>
      <name val="Roboto"/>
    </font>
    <font>
      <b/>
      <sz val="10.5"/>
      <color rgb="FF1F497D"/>
      <name val="Roboto"/>
    </font>
  </fonts>
  <fills count="11">
    <fill>
      <patternFill patternType="none"/>
    </fill>
    <fill>
      <patternFill patternType="gray125"/>
    </fill>
    <fill>
      <patternFill patternType="solid">
        <fgColor rgb="FF1F497D"/>
        <bgColor rgb="FF1F497D"/>
      </patternFill>
    </fill>
    <fill>
      <patternFill patternType="solid">
        <fgColor rgb="FF2E75B6"/>
        <bgColor rgb="FF2E75B6"/>
      </patternFill>
    </fill>
    <fill>
      <patternFill patternType="solid">
        <fgColor rgb="FFE2EFDA"/>
        <bgColor rgb="FFE2EFDA"/>
      </patternFill>
    </fill>
    <fill>
      <patternFill patternType="solid">
        <fgColor rgb="FFF9FAFB"/>
        <bgColor rgb="FFF9FAFB"/>
      </patternFill>
    </fill>
    <fill>
      <patternFill patternType="solid">
        <fgColor rgb="FFD9E1F2"/>
        <bgColor rgb="FFD9E1F2"/>
      </patternFill>
    </fill>
    <fill>
      <patternFill patternType="solid">
        <fgColor rgb="FF418AB3"/>
        <bgColor rgb="FF418AB3"/>
      </patternFill>
    </fill>
    <fill>
      <patternFill patternType="solid">
        <fgColor rgb="FFFCE4D6"/>
        <bgColor rgb="FFFCE4D6"/>
      </patternFill>
    </fill>
    <fill>
      <patternFill patternType="solid">
        <fgColor rgb="FFFFF2CC"/>
        <bgColor rgb="FFFFF2CC"/>
      </patternFill>
    </fill>
    <fill>
      <patternFill patternType="solid">
        <fgColor rgb="FFE9EEF4"/>
        <bgColor rgb="FFE9EEF4"/>
      </patternFill>
    </fill>
  </fills>
  <borders count="7">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1F497D"/>
      </top>
      <bottom style="double">
        <color rgb="FF1F497D"/>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1F497D"/>
      </top>
      <bottom style="double">
        <color rgb="FF1F497D"/>
      </bottom>
      <diagonal/>
    </border>
    <border>
      <left/>
      <right style="thin">
        <color rgb="FFBFBFBF"/>
      </right>
      <top style="thin">
        <color rgb="FF1F497D"/>
      </top>
      <bottom style="double">
        <color rgb="FF1F497D"/>
      </bottom>
      <diagonal/>
    </border>
  </borders>
  <cellStyleXfs count="1">
    <xf numFmtId="0" fontId="0" fillId="0" borderId="0"/>
  </cellStyleXfs>
  <cellXfs count="42">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0" fillId="5" borderId="1" xfId="0" applyFill="1" applyBorder="1"/>
    <xf numFmtId="164" fontId="7" fillId="5"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9" fillId="8"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0" borderId="3" xfId="0" applyBorder="1"/>
    <xf numFmtId="0" fontId="0" fillId="0" borderId="4" xfId="0" applyBorder="1"/>
    <xf numFmtId="0" fontId="6" fillId="6" borderId="2" xfId="0" applyFont="1" applyFill="1" applyBorder="1" applyAlignment="1">
      <alignment horizontal="center" vertical="center" wrapText="1"/>
    </xf>
    <xf numFmtId="0" fontId="0" fillId="0" borderId="5" xfId="0" applyBorder="1"/>
    <xf numFmtId="0" fontId="0" fillId="0" borderId="6" xfId="0" applyBorder="1"/>
    <xf numFmtId="0" fontId="2" fillId="0" borderId="0" xfId="0" applyFont="1" applyAlignment="1">
      <alignment horizontal="center" vertical="center"/>
    </xf>
    <xf numFmtId="0" fontId="0" fillId="0" borderId="0" xfId="0"/>
    <xf numFmtId="0" fontId="1" fillId="0" borderId="0" xfId="0" applyFont="1" applyAlignment="1">
      <alignment horizontal="center" vertical="center"/>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7" borderId="0" xfId="0" applyFont="1" applyFill="1" applyAlignment="1">
      <alignment horizontal="center" vertical="center" wrapText="1"/>
    </xf>
    <xf numFmtId="0" fontId="8" fillId="0" borderId="0" xfId="0" applyFont="1"/>
    <xf numFmtId="0" fontId="10" fillId="5" borderId="1" xfId="0" applyFont="1" applyFill="1" applyBorder="1" applyAlignment="1">
      <alignment horizontal="left" vertical="center" wrapText="1"/>
    </xf>
    <xf numFmtId="0" fontId="0" fillId="0" borderId="1" xfId="0" applyBorder="1"/>
    <xf numFmtId="0" fontId="11" fillId="0" borderId="1" xfId="0" applyFont="1" applyBorder="1" applyAlignment="1">
      <alignment horizontal="left" vertical="center" wrapText="1"/>
    </xf>
    <xf numFmtId="0" fontId="1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
  <sheetViews>
    <sheetView topLeftCell="A42" workbookViewId="0">
      <selection sqref="A1:M1"/>
    </sheetView>
  </sheetViews>
  <sheetFormatPr defaultRowHeight="14.4" x14ac:dyDescent="0.3"/>
  <cols>
    <col min="1" max="1" width="6" customWidth="1"/>
    <col min="2" max="2" width="10" customWidth="1"/>
    <col min="3" max="3" width="38" customWidth="1"/>
    <col min="4" max="4" width="8" customWidth="1"/>
    <col min="5" max="5" width="16" customWidth="1"/>
    <col min="6" max="8" width="18" customWidth="1"/>
    <col min="9" max="9" width="16" customWidth="1"/>
    <col min="10" max="11" width="18" customWidth="1"/>
    <col min="12" max="12" width="14" customWidth="1"/>
    <col min="13" max="13" width="16" customWidth="1"/>
  </cols>
  <sheetData>
    <row r="1" spans="1:13" ht="28.05" customHeight="1" x14ac:dyDescent="0.3">
      <c r="A1" s="33" t="s">
        <v>0</v>
      </c>
      <c r="B1" s="32"/>
      <c r="C1" s="32"/>
      <c r="D1" s="32"/>
      <c r="E1" s="32"/>
      <c r="F1" s="32"/>
      <c r="G1" s="32"/>
      <c r="H1" s="32"/>
      <c r="I1" s="32"/>
      <c r="J1" s="32"/>
      <c r="K1" s="32"/>
      <c r="L1" s="32"/>
      <c r="M1" s="32"/>
    </row>
    <row r="2" spans="1:13" ht="19.95" customHeight="1" x14ac:dyDescent="0.3">
      <c r="A2" s="31" t="s">
        <v>1</v>
      </c>
      <c r="B2" s="32"/>
      <c r="C2" s="32"/>
      <c r="D2" s="32"/>
      <c r="E2" s="32"/>
      <c r="F2" s="32"/>
      <c r="G2" s="32"/>
      <c r="H2" s="32"/>
      <c r="I2" s="32"/>
      <c r="J2" s="32"/>
      <c r="K2" s="32"/>
      <c r="L2" s="32"/>
      <c r="M2" s="32"/>
    </row>
    <row r="4" spans="1:13" ht="42" customHeight="1" x14ac:dyDescent="0.3">
      <c r="A4" s="1" t="s">
        <v>2</v>
      </c>
      <c r="B4" s="1" t="s">
        <v>3</v>
      </c>
      <c r="C4" s="1" t="s">
        <v>4</v>
      </c>
      <c r="D4" s="1" t="s">
        <v>5</v>
      </c>
      <c r="E4" s="1" t="s">
        <v>6</v>
      </c>
      <c r="F4" s="2" t="s">
        <v>7</v>
      </c>
      <c r="G4" s="2" t="s">
        <v>8</v>
      </c>
      <c r="H4" s="2" t="s">
        <v>9</v>
      </c>
      <c r="I4" s="2" t="s">
        <v>10</v>
      </c>
      <c r="J4" s="2" t="s">
        <v>11</v>
      </c>
      <c r="K4" s="2" t="s">
        <v>12</v>
      </c>
      <c r="L4" s="1" t="s">
        <v>13</v>
      </c>
      <c r="M4" s="1" t="s">
        <v>14</v>
      </c>
    </row>
    <row r="5" spans="1:13" ht="22.05" customHeight="1" x14ac:dyDescent="0.3">
      <c r="A5" s="3">
        <v>1</v>
      </c>
      <c r="B5" s="3" t="s">
        <v>15</v>
      </c>
      <c r="C5" s="4" t="s">
        <v>16</v>
      </c>
      <c r="D5" s="3">
        <v>3</v>
      </c>
      <c r="E5" s="3" t="s">
        <v>17</v>
      </c>
      <c r="F5" s="5" t="s">
        <v>18</v>
      </c>
      <c r="G5" s="6" t="s">
        <v>19</v>
      </c>
      <c r="H5" s="5" t="s">
        <v>20</v>
      </c>
      <c r="I5" s="5" t="s">
        <v>18</v>
      </c>
      <c r="J5" s="6" t="s">
        <v>19</v>
      </c>
      <c r="K5" s="6" t="s">
        <v>19</v>
      </c>
      <c r="L5" s="3" t="s">
        <v>21</v>
      </c>
      <c r="M5" s="3" t="s">
        <v>22</v>
      </c>
    </row>
    <row r="6" spans="1:13" ht="22.05" customHeight="1" x14ac:dyDescent="0.3">
      <c r="A6" s="7">
        <v>2</v>
      </c>
      <c r="B6" s="7" t="s">
        <v>23</v>
      </c>
      <c r="C6" s="8" t="s">
        <v>24</v>
      </c>
      <c r="D6" s="7">
        <v>3</v>
      </c>
      <c r="E6" s="7" t="s">
        <v>25</v>
      </c>
      <c r="F6" s="9" t="s">
        <v>19</v>
      </c>
      <c r="G6" s="5" t="s">
        <v>26</v>
      </c>
      <c r="H6" s="5" t="s">
        <v>27</v>
      </c>
      <c r="I6" s="9" t="s">
        <v>19</v>
      </c>
      <c r="J6" s="9" t="s">
        <v>19</v>
      </c>
      <c r="K6" s="9" t="s">
        <v>19</v>
      </c>
      <c r="L6" s="7" t="s">
        <v>28</v>
      </c>
      <c r="M6" s="7" t="s">
        <v>29</v>
      </c>
    </row>
    <row r="7" spans="1:13" ht="22.05" customHeight="1" x14ac:dyDescent="0.3">
      <c r="A7" s="3">
        <v>3</v>
      </c>
      <c r="B7" s="3" t="s">
        <v>30</v>
      </c>
      <c r="C7" s="4" t="s">
        <v>31</v>
      </c>
      <c r="D7" s="3">
        <v>3</v>
      </c>
      <c r="E7" s="3" t="s">
        <v>25</v>
      </c>
      <c r="F7" s="5" t="s">
        <v>20</v>
      </c>
      <c r="G7" s="5" t="s">
        <v>20</v>
      </c>
      <c r="H7" s="6" t="s">
        <v>19</v>
      </c>
      <c r="I7" s="5" t="s">
        <v>26</v>
      </c>
      <c r="J7" s="6" t="s">
        <v>19</v>
      </c>
      <c r="K7" s="6" t="s">
        <v>19</v>
      </c>
      <c r="L7" s="3" t="s">
        <v>32</v>
      </c>
      <c r="M7" s="3" t="s">
        <v>29</v>
      </c>
    </row>
    <row r="8" spans="1:13" ht="22.05" customHeight="1" x14ac:dyDescent="0.3">
      <c r="A8" s="7">
        <v>4</v>
      </c>
      <c r="B8" s="7" t="s">
        <v>33</v>
      </c>
      <c r="C8" s="8" t="s">
        <v>34</v>
      </c>
      <c r="D8" s="7">
        <v>3</v>
      </c>
      <c r="E8" s="7" t="s">
        <v>25</v>
      </c>
      <c r="F8" s="9" t="s">
        <v>19</v>
      </c>
      <c r="G8" s="5" t="s">
        <v>35</v>
      </c>
      <c r="H8" s="5" t="s">
        <v>35</v>
      </c>
      <c r="I8" s="9" t="s">
        <v>19</v>
      </c>
      <c r="J8" s="9" t="s">
        <v>19</v>
      </c>
      <c r="K8" s="9" t="s">
        <v>19</v>
      </c>
      <c r="L8" s="7" t="s">
        <v>28</v>
      </c>
      <c r="M8" s="7" t="s">
        <v>29</v>
      </c>
    </row>
    <row r="9" spans="1:13" ht="22.05" customHeight="1" x14ac:dyDescent="0.3">
      <c r="A9" s="3">
        <v>5</v>
      </c>
      <c r="B9" s="3" t="s">
        <v>36</v>
      </c>
      <c r="C9" s="4" t="s">
        <v>37</v>
      </c>
      <c r="D9" s="3">
        <v>3</v>
      </c>
      <c r="E9" s="3" t="s">
        <v>25</v>
      </c>
      <c r="F9" s="6" t="s">
        <v>19</v>
      </c>
      <c r="G9" s="5" t="s">
        <v>35</v>
      </c>
      <c r="H9" s="6" t="s">
        <v>19</v>
      </c>
      <c r="I9" s="6" t="s">
        <v>19</v>
      </c>
      <c r="J9" s="5" t="s">
        <v>20</v>
      </c>
      <c r="K9" s="6" t="s">
        <v>19</v>
      </c>
      <c r="L9" s="3" t="s">
        <v>38</v>
      </c>
      <c r="M9" s="3" t="s">
        <v>29</v>
      </c>
    </row>
    <row r="10" spans="1:13" ht="22.05" customHeight="1" x14ac:dyDescent="0.3">
      <c r="A10" s="7">
        <v>6</v>
      </c>
      <c r="B10" s="7" t="s">
        <v>39</v>
      </c>
      <c r="C10" s="8" t="s">
        <v>40</v>
      </c>
      <c r="D10" s="7">
        <v>3</v>
      </c>
      <c r="E10" s="7" t="s">
        <v>25</v>
      </c>
      <c r="F10" s="9" t="s">
        <v>19</v>
      </c>
      <c r="G10" s="5" t="s">
        <v>35</v>
      </c>
      <c r="H10" s="9" t="s">
        <v>19</v>
      </c>
      <c r="I10" s="9" t="s">
        <v>19</v>
      </c>
      <c r="J10" s="5" t="s">
        <v>35</v>
      </c>
      <c r="K10" s="9" t="s">
        <v>19</v>
      </c>
      <c r="L10" s="7" t="s">
        <v>38</v>
      </c>
      <c r="M10" s="7" t="s">
        <v>29</v>
      </c>
    </row>
    <row r="11" spans="1:13" ht="22.05" customHeight="1" x14ac:dyDescent="0.3">
      <c r="A11" s="3">
        <v>7</v>
      </c>
      <c r="B11" s="3" t="s">
        <v>41</v>
      </c>
      <c r="C11" s="4" t="s">
        <v>42</v>
      </c>
      <c r="D11" s="3">
        <v>2</v>
      </c>
      <c r="E11" s="3" t="s">
        <v>17</v>
      </c>
      <c r="F11" s="6" t="s">
        <v>19</v>
      </c>
      <c r="G11" s="6" t="s">
        <v>19</v>
      </c>
      <c r="H11" s="6" t="s">
        <v>19</v>
      </c>
      <c r="I11" s="6" t="s">
        <v>19</v>
      </c>
      <c r="J11" s="5" t="s">
        <v>27</v>
      </c>
      <c r="K11" s="6" t="s">
        <v>19</v>
      </c>
      <c r="L11" s="3" t="s">
        <v>43</v>
      </c>
      <c r="M11" s="3" t="s">
        <v>22</v>
      </c>
    </row>
    <row r="12" spans="1:13" ht="22.05" customHeight="1" x14ac:dyDescent="0.3">
      <c r="A12" s="7">
        <v>8</v>
      </c>
      <c r="B12" s="7" t="s">
        <v>44</v>
      </c>
      <c r="C12" s="8" t="s">
        <v>45</v>
      </c>
      <c r="D12" s="7">
        <v>3</v>
      </c>
      <c r="E12" s="7" t="s">
        <v>25</v>
      </c>
      <c r="F12" s="9" t="s">
        <v>19</v>
      </c>
      <c r="G12" s="9" t="s">
        <v>19</v>
      </c>
      <c r="H12" s="9" t="s">
        <v>19</v>
      </c>
      <c r="I12" s="9" t="s">
        <v>19</v>
      </c>
      <c r="J12" s="5" t="s">
        <v>46</v>
      </c>
      <c r="K12" s="9" t="s">
        <v>19</v>
      </c>
      <c r="L12" s="7" t="s">
        <v>43</v>
      </c>
      <c r="M12" s="7" t="s">
        <v>29</v>
      </c>
    </row>
    <row r="13" spans="1:13" ht="22.05" customHeight="1" x14ac:dyDescent="0.3">
      <c r="A13" s="3">
        <v>9</v>
      </c>
      <c r="B13" s="3" t="s">
        <v>47</v>
      </c>
      <c r="C13" s="4" t="s">
        <v>48</v>
      </c>
      <c r="D13" s="3">
        <v>3</v>
      </c>
      <c r="E13" s="3" t="s">
        <v>25</v>
      </c>
      <c r="F13" s="6" t="s">
        <v>19</v>
      </c>
      <c r="G13" s="5" t="s">
        <v>20</v>
      </c>
      <c r="H13" s="5" t="s">
        <v>35</v>
      </c>
      <c r="I13" s="6" t="s">
        <v>19</v>
      </c>
      <c r="J13" s="5" t="s">
        <v>20</v>
      </c>
      <c r="K13" s="6" t="s">
        <v>19</v>
      </c>
      <c r="L13" s="3" t="s">
        <v>49</v>
      </c>
      <c r="M13" s="3" t="s">
        <v>29</v>
      </c>
    </row>
    <row r="14" spans="1:13" ht="22.05" customHeight="1" x14ac:dyDescent="0.3">
      <c r="A14" s="7">
        <v>10</v>
      </c>
      <c r="B14" s="7" t="s">
        <v>50</v>
      </c>
      <c r="C14" s="8" t="s">
        <v>51</v>
      </c>
      <c r="D14" s="7">
        <v>3</v>
      </c>
      <c r="E14" s="7" t="s">
        <v>25</v>
      </c>
      <c r="F14" s="9" t="s">
        <v>19</v>
      </c>
      <c r="G14" s="9" t="s">
        <v>19</v>
      </c>
      <c r="H14" s="5" t="s">
        <v>27</v>
      </c>
      <c r="I14" s="9" t="s">
        <v>19</v>
      </c>
      <c r="J14" s="5" t="s">
        <v>26</v>
      </c>
      <c r="K14" s="5" t="s">
        <v>26</v>
      </c>
      <c r="L14" s="7" t="s">
        <v>52</v>
      </c>
      <c r="M14" s="7" t="s">
        <v>29</v>
      </c>
    </row>
    <row r="15" spans="1:13" ht="22.05" customHeight="1" x14ac:dyDescent="0.3">
      <c r="A15" s="3">
        <v>11</v>
      </c>
      <c r="B15" s="3" t="s">
        <v>53</v>
      </c>
      <c r="C15" s="4" t="s">
        <v>54</v>
      </c>
      <c r="D15" s="3">
        <v>3</v>
      </c>
      <c r="E15" s="3" t="s">
        <v>25</v>
      </c>
      <c r="F15" s="6" t="s">
        <v>19</v>
      </c>
      <c r="G15" s="5" t="s">
        <v>26</v>
      </c>
      <c r="H15" s="5" t="s">
        <v>26</v>
      </c>
      <c r="I15" s="6" t="s">
        <v>19</v>
      </c>
      <c r="J15" s="5" t="s">
        <v>35</v>
      </c>
      <c r="K15" s="6" t="s">
        <v>19</v>
      </c>
      <c r="L15" s="3" t="s">
        <v>49</v>
      </c>
      <c r="M15" s="3" t="s">
        <v>29</v>
      </c>
    </row>
    <row r="16" spans="1:13" ht="22.05" customHeight="1" x14ac:dyDescent="0.3">
      <c r="A16" s="7">
        <v>12</v>
      </c>
      <c r="B16" s="7" t="s">
        <v>55</v>
      </c>
      <c r="C16" s="8" t="s">
        <v>56</v>
      </c>
      <c r="D16" s="7">
        <v>3</v>
      </c>
      <c r="E16" s="7" t="s">
        <v>25</v>
      </c>
      <c r="F16" s="9" t="s">
        <v>19</v>
      </c>
      <c r="G16" s="5" t="s">
        <v>26</v>
      </c>
      <c r="H16" s="5" t="s">
        <v>20</v>
      </c>
      <c r="I16" s="9" t="s">
        <v>19</v>
      </c>
      <c r="J16" s="5" t="s">
        <v>35</v>
      </c>
      <c r="K16" s="9" t="s">
        <v>19</v>
      </c>
      <c r="L16" s="7" t="s">
        <v>49</v>
      </c>
      <c r="M16" s="7" t="s">
        <v>29</v>
      </c>
    </row>
    <row r="17" spans="1:13" ht="22.05" customHeight="1" x14ac:dyDescent="0.3">
      <c r="A17" s="3">
        <v>13</v>
      </c>
      <c r="B17" s="3" t="s">
        <v>57</v>
      </c>
      <c r="C17" s="4" t="s">
        <v>58</v>
      </c>
      <c r="D17" s="3">
        <v>3</v>
      </c>
      <c r="E17" s="3" t="s">
        <v>17</v>
      </c>
      <c r="F17" s="6" t="s">
        <v>19</v>
      </c>
      <c r="G17" s="6" t="s">
        <v>19</v>
      </c>
      <c r="H17" s="5" t="s">
        <v>20</v>
      </c>
      <c r="I17" s="6" t="s">
        <v>19</v>
      </c>
      <c r="J17" s="5" t="s">
        <v>20</v>
      </c>
      <c r="K17" s="6" t="s">
        <v>19</v>
      </c>
      <c r="L17" s="3" t="s">
        <v>59</v>
      </c>
      <c r="M17" s="3" t="s">
        <v>22</v>
      </c>
    </row>
    <row r="18" spans="1:13" ht="22.05" customHeight="1" x14ac:dyDescent="0.3">
      <c r="A18" s="7">
        <v>14</v>
      </c>
      <c r="B18" s="7" t="s">
        <v>60</v>
      </c>
      <c r="C18" s="8" t="s">
        <v>61</v>
      </c>
      <c r="D18" s="7">
        <v>3</v>
      </c>
      <c r="E18" s="7" t="s">
        <v>25</v>
      </c>
      <c r="F18" s="5" t="s">
        <v>20</v>
      </c>
      <c r="G18" s="5" t="s">
        <v>20</v>
      </c>
      <c r="H18" s="5" t="s">
        <v>20</v>
      </c>
      <c r="I18" s="9" t="s">
        <v>19</v>
      </c>
      <c r="J18" s="5" t="s">
        <v>35</v>
      </c>
      <c r="K18" s="9" t="s">
        <v>19</v>
      </c>
      <c r="L18" s="7" t="s">
        <v>62</v>
      </c>
      <c r="M18" s="7" t="s">
        <v>29</v>
      </c>
    </row>
    <row r="19" spans="1:13" ht="22.05" customHeight="1" x14ac:dyDescent="0.3">
      <c r="A19" s="3">
        <v>15</v>
      </c>
      <c r="B19" s="3" t="s">
        <v>63</v>
      </c>
      <c r="C19" s="4" t="s">
        <v>64</v>
      </c>
      <c r="D19" s="3">
        <v>2</v>
      </c>
      <c r="E19" s="3" t="s">
        <v>17</v>
      </c>
      <c r="F19" s="6" t="s">
        <v>19</v>
      </c>
      <c r="G19" s="6" t="s">
        <v>19</v>
      </c>
      <c r="H19" s="6" t="s">
        <v>19</v>
      </c>
      <c r="I19" s="6" t="s">
        <v>19</v>
      </c>
      <c r="J19" s="5" t="s">
        <v>27</v>
      </c>
      <c r="K19" s="6" t="s">
        <v>19</v>
      </c>
      <c r="L19" s="3" t="s">
        <v>43</v>
      </c>
      <c r="M19" s="3" t="s">
        <v>22</v>
      </c>
    </row>
    <row r="20" spans="1:13" ht="22.05" customHeight="1" x14ac:dyDescent="0.3">
      <c r="A20" s="7">
        <v>16</v>
      </c>
      <c r="B20" s="7" t="s">
        <v>65</v>
      </c>
      <c r="C20" s="8" t="s">
        <v>66</v>
      </c>
      <c r="D20" s="7">
        <v>3</v>
      </c>
      <c r="E20" s="7" t="s">
        <v>25</v>
      </c>
      <c r="F20" s="5" t="s">
        <v>67</v>
      </c>
      <c r="G20" s="9" t="s">
        <v>19</v>
      </c>
      <c r="H20" s="9" t="s">
        <v>19</v>
      </c>
      <c r="I20" s="9" t="s">
        <v>19</v>
      </c>
      <c r="J20" s="9" t="s">
        <v>19</v>
      </c>
      <c r="K20" s="9" t="s">
        <v>19</v>
      </c>
      <c r="L20" s="7" t="s">
        <v>68</v>
      </c>
      <c r="M20" s="7" t="s">
        <v>29</v>
      </c>
    </row>
    <row r="21" spans="1:13" ht="22.05" customHeight="1" x14ac:dyDescent="0.3">
      <c r="A21" s="3">
        <v>17</v>
      </c>
      <c r="B21" s="3" t="s">
        <v>69</v>
      </c>
      <c r="C21" s="4" t="s">
        <v>70</v>
      </c>
      <c r="D21" s="3">
        <v>3</v>
      </c>
      <c r="E21" s="3" t="s">
        <v>25</v>
      </c>
      <c r="F21" s="6" t="s">
        <v>19</v>
      </c>
      <c r="G21" s="5" t="s">
        <v>26</v>
      </c>
      <c r="H21" s="5" t="s">
        <v>20</v>
      </c>
      <c r="I21" s="5" t="s">
        <v>26</v>
      </c>
      <c r="J21" s="5" t="s">
        <v>26</v>
      </c>
      <c r="K21" s="6" t="s">
        <v>19</v>
      </c>
      <c r="L21" s="3" t="s">
        <v>71</v>
      </c>
      <c r="M21" s="3" t="s">
        <v>29</v>
      </c>
    </row>
    <row r="22" spans="1:13" ht="22.05" customHeight="1" x14ac:dyDescent="0.3">
      <c r="A22" s="7">
        <v>18</v>
      </c>
      <c r="B22" s="7" t="s">
        <v>72</v>
      </c>
      <c r="C22" s="8" t="s">
        <v>73</v>
      </c>
      <c r="D22" s="7">
        <v>3</v>
      </c>
      <c r="E22" s="7" t="s">
        <v>25</v>
      </c>
      <c r="F22" s="5" t="s">
        <v>20</v>
      </c>
      <c r="G22" s="5" t="s">
        <v>26</v>
      </c>
      <c r="H22" s="9" t="s">
        <v>19</v>
      </c>
      <c r="I22" s="9" t="s">
        <v>19</v>
      </c>
      <c r="J22" s="5" t="s">
        <v>35</v>
      </c>
      <c r="K22" s="9" t="s">
        <v>19</v>
      </c>
      <c r="L22" s="7" t="s">
        <v>74</v>
      </c>
      <c r="M22" s="7" t="s">
        <v>29</v>
      </c>
    </row>
    <row r="23" spans="1:13" ht="22.05" customHeight="1" x14ac:dyDescent="0.3">
      <c r="A23" s="3">
        <v>19</v>
      </c>
      <c r="B23" s="3" t="s">
        <v>75</v>
      </c>
      <c r="C23" s="4" t="s">
        <v>76</v>
      </c>
      <c r="D23" s="3">
        <v>3</v>
      </c>
      <c r="E23" s="3" t="s">
        <v>25</v>
      </c>
      <c r="F23" s="6" t="s">
        <v>19</v>
      </c>
      <c r="G23" s="6" t="s">
        <v>19</v>
      </c>
      <c r="H23" s="5" t="s">
        <v>27</v>
      </c>
      <c r="I23" s="6" t="s">
        <v>19</v>
      </c>
      <c r="J23" s="6" t="s">
        <v>19</v>
      </c>
      <c r="K23" s="5" t="s">
        <v>26</v>
      </c>
      <c r="L23" s="3" t="s">
        <v>77</v>
      </c>
      <c r="M23" s="3" t="s">
        <v>29</v>
      </c>
    </row>
    <row r="24" spans="1:13" ht="22.05" customHeight="1" x14ac:dyDescent="0.3">
      <c r="A24" s="7">
        <v>20</v>
      </c>
      <c r="B24" s="7" t="s">
        <v>78</v>
      </c>
      <c r="C24" s="8" t="s">
        <v>79</v>
      </c>
      <c r="D24" s="7">
        <v>3</v>
      </c>
      <c r="E24" s="7" t="s">
        <v>25</v>
      </c>
      <c r="F24" s="5" t="s">
        <v>67</v>
      </c>
      <c r="G24" s="9" t="s">
        <v>19</v>
      </c>
      <c r="H24" s="9" t="s">
        <v>19</v>
      </c>
      <c r="I24" s="9" t="s">
        <v>19</v>
      </c>
      <c r="J24" s="9" t="s">
        <v>19</v>
      </c>
      <c r="K24" s="9" t="s">
        <v>19</v>
      </c>
      <c r="L24" s="7" t="s">
        <v>68</v>
      </c>
      <c r="M24" s="7" t="s">
        <v>29</v>
      </c>
    </row>
    <row r="25" spans="1:13" ht="22.05" customHeight="1" x14ac:dyDescent="0.3">
      <c r="A25" s="3">
        <v>21</v>
      </c>
      <c r="B25" s="3" t="s">
        <v>80</v>
      </c>
      <c r="C25" s="4" t="s">
        <v>81</v>
      </c>
      <c r="D25" s="3">
        <v>3</v>
      </c>
      <c r="E25" s="3" t="s">
        <v>25</v>
      </c>
      <c r="F25" s="6" t="s">
        <v>19</v>
      </c>
      <c r="G25" s="5" t="s">
        <v>35</v>
      </c>
      <c r="H25" s="5" t="s">
        <v>35</v>
      </c>
      <c r="I25" s="6" t="s">
        <v>19</v>
      </c>
      <c r="J25" s="6" t="s">
        <v>19</v>
      </c>
      <c r="K25" s="6" t="s">
        <v>19</v>
      </c>
      <c r="L25" s="3" t="s">
        <v>28</v>
      </c>
      <c r="M25" s="3" t="s">
        <v>29</v>
      </c>
    </row>
    <row r="26" spans="1:13" ht="22.05" customHeight="1" x14ac:dyDescent="0.3">
      <c r="A26" s="7">
        <v>22</v>
      </c>
      <c r="B26" s="7" t="s">
        <v>82</v>
      </c>
      <c r="C26" s="8" t="s">
        <v>83</v>
      </c>
      <c r="D26" s="7">
        <v>3</v>
      </c>
      <c r="E26" s="7" t="s">
        <v>25</v>
      </c>
      <c r="F26" s="9" t="s">
        <v>19</v>
      </c>
      <c r="G26" s="5" t="s">
        <v>26</v>
      </c>
      <c r="H26" s="9" t="s">
        <v>19</v>
      </c>
      <c r="I26" s="9" t="s">
        <v>19</v>
      </c>
      <c r="J26" s="9" t="s">
        <v>19</v>
      </c>
      <c r="K26" s="9" t="s">
        <v>19</v>
      </c>
      <c r="L26" s="7" t="s">
        <v>84</v>
      </c>
      <c r="M26" s="7" t="s">
        <v>29</v>
      </c>
    </row>
    <row r="27" spans="1:13" ht="22.05" customHeight="1" x14ac:dyDescent="0.3">
      <c r="A27" s="3">
        <v>23</v>
      </c>
      <c r="B27" s="3" t="s">
        <v>85</v>
      </c>
      <c r="C27" s="4" t="s">
        <v>86</v>
      </c>
      <c r="D27" s="3">
        <v>3</v>
      </c>
      <c r="E27" s="3" t="s">
        <v>87</v>
      </c>
      <c r="F27" s="6" t="s">
        <v>19</v>
      </c>
      <c r="G27" s="5" t="s">
        <v>26</v>
      </c>
      <c r="H27" s="5" t="s">
        <v>26</v>
      </c>
      <c r="I27" s="5" t="s">
        <v>88</v>
      </c>
      <c r="J27" s="5" t="s">
        <v>88</v>
      </c>
      <c r="K27" s="6" t="s">
        <v>19</v>
      </c>
      <c r="L27" s="3" t="s">
        <v>71</v>
      </c>
      <c r="M27" s="3" t="s">
        <v>89</v>
      </c>
    </row>
    <row r="28" spans="1:13" ht="22.05" customHeight="1" x14ac:dyDescent="0.3">
      <c r="A28" s="7">
        <v>24</v>
      </c>
      <c r="B28" s="7" t="s">
        <v>90</v>
      </c>
      <c r="C28" s="8" t="s">
        <v>91</v>
      </c>
      <c r="D28" s="7">
        <v>3</v>
      </c>
      <c r="E28" s="7" t="s">
        <v>25</v>
      </c>
      <c r="F28" s="9" t="s">
        <v>19</v>
      </c>
      <c r="G28" s="5" t="s">
        <v>35</v>
      </c>
      <c r="H28" s="5" t="s">
        <v>26</v>
      </c>
      <c r="I28" s="9" t="s">
        <v>19</v>
      </c>
      <c r="J28" s="5" t="s">
        <v>35</v>
      </c>
      <c r="K28" s="9" t="s">
        <v>19</v>
      </c>
      <c r="L28" s="7" t="s">
        <v>49</v>
      </c>
      <c r="M28" s="7" t="s">
        <v>29</v>
      </c>
    </row>
    <row r="29" spans="1:13" ht="22.05" customHeight="1" x14ac:dyDescent="0.3">
      <c r="A29" s="3">
        <v>25</v>
      </c>
      <c r="B29" s="3" t="s">
        <v>92</v>
      </c>
      <c r="C29" s="4" t="s">
        <v>93</v>
      </c>
      <c r="D29" s="3">
        <v>3</v>
      </c>
      <c r="E29" s="3" t="s">
        <v>25</v>
      </c>
      <c r="F29" s="5" t="s">
        <v>35</v>
      </c>
      <c r="G29" s="6" t="s">
        <v>19</v>
      </c>
      <c r="H29" s="5" t="s">
        <v>26</v>
      </c>
      <c r="I29" s="6" t="s">
        <v>19</v>
      </c>
      <c r="J29" s="6" t="s">
        <v>19</v>
      </c>
      <c r="K29" s="6" t="s">
        <v>19</v>
      </c>
      <c r="L29" s="3" t="s">
        <v>94</v>
      </c>
      <c r="M29" s="3" t="s">
        <v>29</v>
      </c>
    </row>
    <row r="30" spans="1:13" ht="22.05" customHeight="1" x14ac:dyDescent="0.3">
      <c r="A30" s="7">
        <v>26</v>
      </c>
      <c r="B30" s="7" t="s">
        <v>95</v>
      </c>
      <c r="C30" s="8" t="s">
        <v>96</v>
      </c>
      <c r="D30" s="7">
        <v>3</v>
      </c>
      <c r="E30" s="7" t="s">
        <v>25</v>
      </c>
      <c r="F30" s="9" t="s">
        <v>19</v>
      </c>
      <c r="G30" s="9" t="s">
        <v>19</v>
      </c>
      <c r="H30" s="9" t="s">
        <v>19</v>
      </c>
      <c r="I30" s="9" t="s">
        <v>19</v>
      </c>
      <c r="J30" s="9" t="s">
        <v>19</v>
      </c>
      <c r="K30" s="5" t="s">
        <v>67</v>
      </c>
      <c r="L30" s="7" t="s">
        <v>97</v>
      </c>
      <c r="M30" s="7" t="s">
        <v>29</v>
      </c>
    </row>
    <row r="31" spans="1:13" ht="22.05" customHeight="1" x14ac:dyDescent="0.3">
      <c r="A31" s="3">
        <v>27</v>
      </c>
      <c r="B31" s="3" t="s">
        <v>98</v>
      </c>
      <c r="C31" s="4" t="s">
        <v>99</v>
      </c>
      <c r="D31" s="3">
        <v>3</v>
      </c>
      <c r="E31" s="3" t="s">
        <v>25</v>
      </c>
      <c r="F31" s="5" t="s">
        <v>26</v>
      </c>
      <c r="G31" s="6" t="s">
        <v>19</v>
      </c>
      <c r="H31" s="6" t="s">
        <v>19</v>
      </c>
      <c r="I31" s="6" t="s">
        <v>19</v>
      </c>
      <c r="J31" s="5" t="s">
        <v>67</v>
      </c>
      <c r="K31" s="6" t="s">
        <v>19</v>
      </c>
      <c r="L31" s="3" t="s">
        <v>100</v>
      </c>
      <c r="M31" s="3" t="s">
        <v>29</v>
      </c>
    </row>
    <row r="32" spans="1:13" ht="22.05" customHeight="1" x14ac:dyDescent="0.3">
      <c r="A32" s="7">
        <v>28</v>
      </c>
      <c r="B32" s="7" t="s">
        <v>101</v>
      </c>
      <c r="C32" s="8" t="s">
        <v>102</v>
      </c>
      <c r="D32" s="7">
        <v>3</v>
      </c>
      <c r="E32" s="7" t="s">
        <v>87</v>
      </c>
      <c r="F32" s="9" t="s">
        <v>19</v>
      </c>
      <c r="G32" s="5" t="s">
        <v>26</v>
      </c>
      <c r="H32" s="5" t="s">
        <v>26</v>
      </c>
      <c r="I32" s="9" t="s">
        <v>19</v>
      </c>
      <c r="J32" s="5" t="s">
        <v>46</v>
      </c>
      <c r="K32" s="9" t="s">
        <v>19</v>
      </c>
      <c r="L32" s="7" t="s">
        <v>49</v>
      </c>
      <c r="M32" s="7" t="s">
        <v>29</v>
      </c>
    </row>
    <row r="33" spans="1:13" ht="22.05" customHeight="1" x14ac:dyDescent="0.3">
      <c r="A33" s="3">
        <v>29</v>
      </c>
      <c r="B33" s="3" t="s">
        <v>103</v>
      </c>
      <c r="C33" s="4" t="s">
        <v>104</v>
      </c>
      <c r="D33" s="3">
        <v>3</v>
      </c>
      <c r="E33" s="3" t="s">
        <v>87</v>
      </c>
      <c r="F33" s="5" t="s">
        <v>26</v>
      </c>
      <c r="G33" s="5" t="s">
        <v>26</v>
      </c>
      <c r="H33" s="5" t="s">
        <v>26</v>
      </c>
      <c r="I33" s="6" t="s">
        <v>19</v>
      </c>
      <c r="J33" s="5" t="s">
        <v>26</v>
      </c>
      <c r="K33" s="6" t="s">
        <v>19</v>
      </c>
      <c r="L33" s="3" t="s">
        <v>62</v>
      </c>
      <c r="M33" s="3" t="s">
        <v>29</v>
      </c>
    </row>
    <row r="34" spans="1:13" ht="22.05" customHeight="1" x14ac:dyDescent="0.3">
      <c r="A34" s="7">
        <v>30</v>
      </c>
      <c r="B34" s="7" t="s">
        <v>105</v>
      </c>
      <c r="C34" s="8" t="s">
        <v>106</v>
      </c>
      <c r="D34" s="7">
        <v>3</v>
      </c>
      <c r="E34" s="7" t="s">
        <v>87</v>
      </c>
      <c r="F34" s="9" t="s">
        <v>19</v>
      </c>
      <c r="G34" s="5" t="s">
        <v>35</v>
      </c>
      <c r="H34" s="9" t="s">
        <v>19</v>
      </c>
      <c r="I34" s="9" t="s">
        <v>19</v>
      </c>
      <c r="J34" s="5" t="s">
        <v>35</v>
      </c>
      <c r="K34" s="9" t="s">
        <v>19</v>
      </c>
      <c r="L34" s="7" t="s">
        <v>38</v>
      </c>
      <c r="M34" s="7" t="s">
        <v>29</v>
      </c>
    </row>
    <row r="35" spans="1:13" ht="22.05" customHeight="1" x14ac:dyDescent="0.3">
      <c r="A35" s="3">
        <v>31</v>
      </c>
      <c r="B35" s="3" t="s">
        <v>107</v>
      </c>
      <c r="C35" s="4" t="s">
        <v>108</v>
      </c>
      <c r="D35" s="3">
        <v>3</v>
      </c>
      <c r="E35" s="3" t="s">
        <v>87</v>
      </c>
      <c r="F35" s="6" t="s">
        <v>19</v>
      </c>
      <c r="G35" s="6" t="s">
        <v>19</v>
      </c>
      <c r="H35" s="6" t="s">
        <v>19</v>
      </c>
      <c r="I35" s="6" t="s">
        <v>19</v>
      </c>
      <c r="J35" s="6" t="s">
        <v>19</v>
      </c>
      <c r="K35" s="5" t="s">
        <v>67</v>
      </c>
      <c r="L35" s="3" t="s">
        <v>97</v>
      </c>
      <c r="M35" s="3" t="s">
        <v>29</v>
      </c>
    </row>
    <row r="36" spans="1:13" ht="22.05" customHeight="1" x14ac:dyDescent="0.3">
      <c r="A36" s="7">
        <v>32</v>
      </c>
      <c r="B36" s="7" t="s">
        <v>109</v>
      </c>
      <c r="C36" s="8" t="s">
        <v>110</v>
      </c>
      <c r="D36" s="7">
        <v>3</v>
      </c>
      <c r="E36" s="7" t="s">
        <v>87</v>
      </c>
      <c r="F36" s="9" t="s">
        <v>19</v>
      </c>
      <c r="G36" s="9" t="s">
        <v>19</v>
      </c>
      <c r="H36" s="9" t="s">
        <v>19</v>
      </c>
      <c r="I36" s="9" t="s">
        <v>19</v>
      </c>
      <c r="J36" s="9" t="s">
        <v>19</v>
      </c>
      <c r="K36" s="5" t="s">
        <v>111</v>
      </c>
      <c r="L36" s="7" t="s">
        <v>97</v>
      </c>
      <c r="M36" s="7" t="s">
        <v>89</v>
      </c>
    </row>
    <row r="37" spans="1:13" ht="22.05" customHeight="1" x14ac:dyDescent="0.3">
      <c r="A37" s="3">
        <v>33</v>
      </c>
      <c r="B37" s="3" t="s">
        <v>112</v>
      </c>
      <c r="C37" s="4" t="s">
        <v>113</v>
      </c>
      <c r="D37" s="3">
        <v>3</v>
      </c>
      <c r="E37" s="3" t="s">
        <v>25</v>
      </c>
      <c r="F37" s="6" t="s">
        <v>19</v>
      </c>
      <c r="G37" s="5" t="s">
        <v>35</v>
      </c>
      <c r="H37" s="6" t="s">
        <v>19</v>
      </c>
      <c r="I37" s="6" t="s">
        <v>19</v>
      </c>
      <c r="J37" s="5" t="s">
        <v>35</v>
      </c>
      <c r="K37" s="6" t="s">
        <v>19</v>
      </c>
      <c r="L37" s="3" t="s">
        <v>38</v>
      </c>
      <c r="M37" s="3" t="s">
        <v>29</v>
      </c>
    </row>
    <row r="38" spans="1:13" ht="22.05" customHeight="1" x14ac:dyDescent="0.3">
      <c r="A38" s="7">
        <v>34</v>
      </c>
      <c r="B38" s="7" t="s">
        <v>114</v>
      </c>
      <c r="C38" s="8" t="s">
        <v>115</v>
      </c>
      <c r="D38" s="7">
        <v>3</v>
      </c>
      <c r="E38" s="7" t="s">
        <v>87</v>
      </c>
      <c r="F38" s="5" t="s">
        <v>88</v>
      </c>
      <c r="G38" s="5" t="s">
        <v>88</v>
      </c>
      <c r="H38" s="9" t="s">
        <v>19</v>
      </c>
      <c r="I38" s="5" t="s">
        <v>88</v>
      </c>
      <c r="J38" s="5" t="s">
        <v>26</v>
      </c>
      <c r="K38" s="9" t="s">
        <v>19</v>
      </c>
      <c r="L38" s="7" t="s">
        <v>116</v>
      </c>
      <c r="M38" s="7" t="s">
        <v>89</v>
      </c>
    </row>
    <row r="39" spans="1:13" ht="22.05" customHeight="1" x14ac:dyDescent="0.3">
      <c r="A39" s="3">
        <v>35</v>
      </c>
      <c r="B39" s="3" t="s">
        <v>117</v>
      </c>
      <c r="C39" s="4" t="s">
        <v>118</v>
      </c>
      <c r="D39" s="3">
        <v>3</v>
      </c>
      <c r="E39" s="3" t="s">
        <v>87</v>
      </c>
      <c r="F39" s="5" t="s">
        <v>88</v>
      </c>
      <c r="G39" s="5" t="s">
        <v>35</v>
      </c>
      <c r="H39" s="6" t="s">
        <v>19</v>
      </c>
      <c r="I39" s="6" t="s">
        <v>19</v>
      </c>
      <c r="J39" s="5" t="s">
        <v>119</v>
      </c>
      <c r="K39" s="6" t="s">
        <v>19</v>
      </c>
      <c r="L39" s="3" t="s">
        <v>74</v>
      </c>
      <c r="M39" s="3" t="s">
        <v>89</v>
      </c>
    </row>
    <row r="40" spans="1:13" ht="22.05" customHeight="1" x14ac:dyDescent="0.3">
      <c r="A40" s="7">
        <v>36</v>
      </c>
      <c r="B40" s="7" t="s">
        <v>120</v>
      </c>
      <c r="C40" s="8" t="s">
        <v>121</v>
      </c>
      <c r="D40" s="7">
        <v>3</v>
      </c>
      <c r="E40" s="7" t="s">
        <v>87</v>
      </c>
      <c r="F40" s="5" t="s">
        <v>88</v>
      </c>
      <c r="G40" s="9" t="s">
        <v>19</v>
      </c>
      <c r="H40" s="9" t="s">
        <v>19</v>
      </c>
      <c r="I40" s="9" t="s">
        <v>19</v>
      </c>
      <c r="J40" s="5" t="s">
        <v>119</v>
      </c>
      <c r="K40" s="9" t="s">
        <v>19</v>
      </c>
      <c r="L40" s="7" t="s">
        <v>100</v>
      </c>
      <c r="M40" s="7" t="s">
        <v>89</v>
      </c>
    </row>
    <row r="41" spans="1:13" ht="22.05" customHeight="1" x14ac:dyDescent="0.3">
      <c r="A41" s="3">
        <v>37</v>
      </c>
      <c r="B41" s="3" t="s">
        <v>122</v>
      </c>
      <c r="C41" s="4" t="s">
        <v>123</v>
      </c>
      <c r="D41" s="3">
        <v>3</v>
      </c>
      <c r="E41" s="3" t="s">
        <v>87</v>
      </c>
      <c r="F41" s="5" t="s">
        <v>26</v>
      </c>
      <c r="G41" s="6" t="s">
        <v>19</v>
      </c>
      <c r="H41" s="6" t="s">
        <v>19</v>
      </c>
      <c r="I41" s="6" t="s">
        <v>19</v>
      </c>
      <c r="J41" s="6" t="s">
        <v>19</v>
      </c>
      <c r="K41" s="5" t="s">
        <v>119</v>
      </c>
      <c r="L41" s="3" t="s">
        <v>124</v>
      </c>
      <c r="M41" s="3" t="s">
        <v>89</v>
      </c>
    </row>
    <row r="42" spans="1:13" ht="22.05" customHeight="1" x14ac:dyDescent="0.3">
      <c r="A42" s="7">
        <v>38</v>
      </c>
      <c r="B42" s="7" t="s">
        <v>125</v>
      </c>
      <c r="C42" s="8" t="s">
        <v>126</v>
      </c>
      <c r="D42" s="7">
        <v>3</v>
      </c>
      <c r="E42" s="7" t="s">
        <v>87</v>
      </c>
      <c r="F42" s="5" t="s">
        <v>26</v>
      </c>
      <c r="G42" s="9" t="s">
        <v>19</v>
      </c>
      <c r="H42" s="9" t="s">
        <v>19</v>
      </c>
      <c r="I42" s="9" t="s">
        <v>19</v>
      </c>
      <c r="J42" s="9" t="s">
        <v>19</v>
      </c>
      <c r="K42" s="5" t="s">
        <v>119</v>
      </c>
      <c r="L42" s="7" t="s">
        <v>124</v>
      </c>
      <c r="M42" s="7" t="s">
        <v>89</v>
      </c>
    </row>
    <row r="43" spans="1:13" ht="22.05" customHeight="1" x14ac:dyDescent="0.3">
      <c r="A43" s="3">
        <v>39</v>
      </c>
      <c r="B43" s="3" t="s">
        <v>127</v>
      </c>
      <c r="C43" s="4" t="s">
        <v>128</v>
      </c>
      <c r="D43" s="3">
        <v>3</v>
      </c>
      <c r="E43" s="3" t="s">
        <v>87</v>
      </c>
      <c r="F43" s="5" t="s">
        <v>111</v>
      </c>
      <c r="G43" s="6" t="s">
        <v>19</v>
      </c>
      <c r="H43" s="6" t="s">
        <v>19</v>
      </c>
      <c r="I43" s="6" t="s">
        <v>19</v>
      </c>
      <c r="J43" s="6" t="s">
        <v>19</v>
      </c>
      <c r="K43" s="6" t="s">
        <v>19</v>
      </c>
      <c r="L43" s="3" t="s">
        <v>68</v>
      </c>
      <c r="M43" s="3" t="s">
        <v>89</v>
      </c>
    </row>
    <row r="44" spans="1:13" ht="22.05" customHeight="1" x14ac:dyDescent="0.3">
      <c r="A44" s="7">
        <v>40</v>
      </c>
      <c r="B44" s="7" t="s">
        <v>129</v>
      </c>
      <c r="C44" s="8" t="s">
        <v>130</v>
      </c>
      <c r="D44" s="7">
        <v>3</v>
      </c>
      <c r="E44" s="7" t="s">
        <v>87</v>
      </c>
      <c r="F44" s="9" t="s">
        <v>19</v>
      </c>
      <c r="G44" s="5" t="s">
        <v>26</v>
      </c>
      <c r="H44" s="5" t="s">
        <v>119</v>
      </c>
      <c r="I44" s="9" t="s">
        <v>19</v>
      </c>
      <c r="J44" s="9" t="s">
        <v>19</v>
      </c>
      <c r="K44" s="9" t="s">
        <v>19</v>
      </c>
      <c r="L44" s="7" t="s">
        <v>28</v>
      </c>
      <c r="M44" s="7" t="s">
        <v>89</v>
      </c>
    </row>
    <row r="45" spans="1:13" ht="22.05" customHeight="1" x14ac:dyDescent="0.3">
      <c r="A45" s="3">
        <v>41</v>
      </c>
      <c r="B45" s="3" t="s">
        <v>131</v>
      </c>
      <c r="C45" s="4" t="s">
        <v>132</v>
      </c>
      <c r="D45" s="3">
        <v>3</v>
      </c>
      <c r="E45" s="3" t="s">
        <v>87</v>
      </c>
      <c r="F45" s="6" t="s">
        <v>19</v>
      </c>
      <c r="G45" s="6" t="s">
        <v>19</v>
      </c>
      <c r="H45" s="6" t="s">
        <v>19</v>
      </c>
      <c r="I45" s="6" t="s">
        <v>19</v>
      </c>
      <c r="J45" s="6" t="s">
        <v>19</v>
      </c>
      <c r="K45" s="5" t="s">
        <v>111</v>
      </c>
      <c r="L45" s="3" t="s">
        <v>97</v>
      </c>
      <c r="M45" s="3" t="s">
        <v>89</v>
      </c>
    </row>
    <row r="46" spans="1:13" ht="22.05" customHeight="1" x14ac:dyDescent="0.3">
      <c r="A46" s="7">
        <v>42</v>
      </c>
      <c r="B46" s="7" t="s">
        <v>133</v>
      </c>
      <c r="C46" s="8" t="s">
        <v>134</v>
      </c>
      <c r="D46" s="7">
        <v>3</v>
      </c>
      <c r="E46" s="7" t="s">
        <v>87</v>
      </c>
      <c r="F46" s="9" t="s">
        <v>19</v>
      </c>
      <c r="G46" s="5" t="s">
        <v>35</v>
      </c>
      <c r="H46" s="9" t="s">
        <v>19</v>
      </c>
      <c r="I46" s="9" t="s">
        <v>19</v>
      </c>
      <c r="J46" s="5" t="s">
        <v>119</v>
      </c>
      <c r="K46" s="9" t="s">
        <v>19</v>
      </c>
      <c r="L46" s="7" t="s">
        <v>38</v>
      </c>
      <c r="M46" s="7" t="s">
        <v>89</v>
      </c>
    </row>
    <row r="47" spans="1:13" ht="22.05" customHeight="1" x14ac:dyDescent="0.3">
      <c r="A47" s="3">
        <v>43</v>
      </c>
      <c r="B47" s="3" t="s">
        <v>135</v>
      </c>
      <c r="C47" s="4" t="s">
        <v>136</v>
      </c>
      <c r="D47" s="3">
        <v>3</v>
      </c>
      <c r="E47" s="3" t="s">
        <v>87</v>
      </c>
      <c r="F47" s="6" t="s">
        <v>19</v>
      </c>
      <c r="G47" s="5" t="s">
        <v>26</v>
      </c>
      <c r="H47" s="6" t="s">
        <v>19</v>
      </c>
      <c r="I47" s="6" t="s">
        <v>19</v>
      </c>
      <c r="J47" s="5" t="s">
        <v>119</v>
      </c>
      <c r="K47" s="6" t="s">
        <v>19</v>
      </c>
      <c r="L47" s="3" t="s">
        <v>38</v>
      </c>
      <c r="M47" s="3" t="s">
        <v>89</v>
      </c>
    </row>
    <row r="48" spans="1:13" ht="22.05" customHeight="1" x14ac:dyDescent="0.3">
      <c r="A48" s="7">
        <v>44</v>
      </c>
      <c r="B48" s="7" t="s">
        <v>137</v>
      </c>
      <c r="C48" s="8" t="s">
        <v>138</v>
      </c>
      <c r="D48" s="7">
        <v>3</v>
      </c>
      <c r="E48" s="7" t="s">
        <v>87</v>
      </c>
      <c r="F48" s="9" t="s">
        <v>19</v>
      </c>
      <c r="G48" s="9" t="s">
        <v>19</v>
      </c>
      <c r="H48" s="5" t="s">
        <v>88</v>
      </c>
      <c r="I48" s="5" t="s">
        <v>88</v>
      </c>
      <c r="J48" s="9" t="s">
        <v>19</v>
      </c>
      <c r="K48" s="9" t="s">
        <v>19</v>
      </c>
      <c r="L48" s="7" t="s">
        <v>139</v>
      </c>
      <c r="M48" s="7" t="s">
        <v>89</v>
      </c>
    </row>
    <row r="49" spans="1:13" ht="22.05" customHeight="1" x14ac:dyDescent="0.3">
      <c r="A49" s="3">
        <v>45</v>
      </c>
      <c r="B49" s="3" t="s">
        <v>140</v>
      </c>
      <c r="C49" s="4" t="s">
        <v>141</v>
      </c>
      <c r="D49" s="3">
        <v>3</v>
      </c>
      <c r="E49" s="3" t="s">
        <v>87</v>
      </c>
      <c r="F49" s="6" t="s">
        <v>19</v>
      </c>
      <c r="G49" s="5" t="s">
        <v>88</v>
      </c>
      <c r="H49" s="6" t="s">
        <v>19</v>
      </c>
      <c r="I49" s="6" t="s">
        <v>19</v>
      </c>
      <c r="J49" s="5" t="s">
        <v>26</v>
      </c>
      <c r="K49" s="6" t="s">
        <v>19</v>
      </c>
      <c r="L49" s="3" t="s">
        <v>38</v>
      </c>
      <c r="M49" s="3" t="s">
        <v>89</v>
      </c>
    </row>
    <row r="50" spans="1:13" ht="22.05" customHeight="1" x14ac:dyDescent="0.3">
      <c r="A50" s="7">
        <v>46</v>
      </c>
      <c r="B50" s="7" t="s">
        <v>142</v>
      </c>
      <c r="C50" s="8" t="s">
        <v>143</v>
      </c>
      <c r="D50" s="7">
        <v>6</v>
      </c>
      <c r="E50" s="7" t="s">
        <v>144</v>
      </c>
      <c r="F50" s="5" t="s">
        <v>88</v>
      </c>
      <c r="G50" s="5" t="s">
        <v>111</v>
      </c>
      <c r="H50" s="9" t="s">
        <v>19</v>
      </c>
      <c r="I50" s="9" t="s">
        <v>19</v>
      </c>
      <c r="J50" s="5" t="s">
        <v>88</v>
      </c>
      <c r="K50" s="9" t="s">
        <v>19</v>
      </c>
      <c r="L50" s="7" t="s">
        <v>74</v>
      </c>
      <c r="M50" s="7" t="s">
        <v>89</v>
      </c>
    </row>
    <row r="51" spans="1:13" ht="22.05" customHeight="1" x14ac:dyDescent="0.3">
      <c r="A51" s="3">
        <v>47</v>
      </c>
      <c r="B51" s="3" t="s">
        <v>145</v>
      </c>
      <c r="C51" s="4" t="s">
        <v>144</v>
      </c>
      <c r="D51" s="3">
        <v>8</v>
      </c>
      <c r="E51" s="3" t="s">
        <v>144</v>
      </c>
      <c r="F51" s="5" t="s">
        <v>88</v>
      </c>
      <c r="G51" s="5" t="s">
        <v>88</v>
      </c>
      <c r="H51" s="6" t="s">
        <v>19</v>
      </c>
      <c r="I51" s="6" t="s">
        <v>19</v>
      </c>
      <c r="J51" s="5" t="s">
        <v>111</v>
      </c>
      <c r="K51" s="6" t="s">
        <v>19</v>
      </c>
      <c r="L51" s="3" t="s">
        <v>74</v>
      </c>
      <c r="M51" s="3" t="s">
        <v>89</v>
      </c>
    </row>
    <row r="52" spans="1:13" ht="25.05" customHeight="1" x14ac:dyDescent="0.3">
      <c r="A52" s="28" t="s">
        <v>146</v>
      </c>
      <c r="B52" s="29"/>
      <c r="C52" s="29"/>
      <c r="D52" s="29"/>
      <c r="E52" s="30"/>
      <c r="F52" s="10">
        <f t="shared" ref="F52:K52" si="0">COUNTIF(F5:F51, "&lt;&gt;-")</f>
        <v>17</v>
      </c>
      <c r="G52" s="10">
        <f t="shared" si="0"/>
        <v>27</v>
      </c>
      <c r="H52" s="10">
        <f t="shared" si="0"/>
        <v>19</v>
      </c>
      <c r="I52" s="10">
        <f t="shared" si="0"/>
        <v>6</v>
      </c>
      <c r="J52" s="10">
        <f t="shared" si="0"/>
        <v>28</v>
      </c>
      <c r="K52" s="10">
        <f t="shared" si="0"/>
        <v>8</v>
      </c>
      <c r="L52" s="10" t="s">
        <v>147</v>
      </c>
      <c r="M52" s="10" t="s">
        <v>148</v>
      </c>
    </row>
    <row r="53" spans="1:13" ht="24" customHeight="1" x14ac:dyDescent="0.3">
      <c r="A53" s="25" t="s">
        <v>149</v>
      </c>
      <c r="B53" s="26"/>
      <c r="C53" s="26"/>
      <c r="D53" s="26"/>
      <c r="E53" s="27"/>
      <c r="F53" s="12">
        <f t="shared" ref="F53:K53" si="1">F52/47</f>
        <v>0.36170212765957449</v>
      </c>
      <c r="G53" s="12">
        <f t="shared" si="1"/>
        <v>0.57446808510638303</v>
      </c>
      <c r="H53" s="12">
        <f t="shared" si="1"/>
        <v>0.40425531914893614</v>
      </c>
      <c r="I53" s="12">
        <f t="shared" si="1"/>
        <v>0.1276595744680851</v>
      </c>
      <c r="J53" s="12">
        <f t="shared" si="1"/>
        <v>0.5957446808510638</v>
      </c>
      <c r="K53" s="12">
        <f t="shared" si="1"/>
        <v>0.1702127659574468</v>
      </c>
      <c r="L53" s="11"/>
      <c r="M53" s="11"/>
    </row>
  </sheetData>
  <mergeCells count="4">
    <mergeCell ref="A53:E53"/>
    <mergeCell ref="A52:E52"/>
    <mergeCell ref="A2:M2"/>
    <mergeCell ref="A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3"/>
  <sheetViews>
    <sheetView topLeftCell="D1" workbookViewId="0">
      <selection activeCell="I4" sqref="I4:N12"/>
    </sheetView>
  </sheetViews>
  <sheetFormatPr defaultRowHeight="14.4" x14ac:dyDescent="0.3"/>
  <cols>
    <col min="1" max="1" width="6" customWidth="1"/>
    <col min="2" max="2" width="10" customWidth="1"/>
    <col min="3" max="3" width="34" customWidth="1"/>
    <col min="4" max="4" width="6" customWidth="1"/>
    <col min="5" max="5" width="14" customWidth="1"/>
    <col min="6" max="29" width="7.44140625" customWidth="1"/>
  </cols>
  <sheetData>
    <row r="1" spans="1:29" ht="28.05" customHeight="1" x14ac:dyDescent="0.3">
      <c r="A1" s="33" t="s">
        <v>150</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row>
    <row r="2" spans="1:29" ht="19.95" customHeight="1" x14ac:dyDescent="0.3">
      <c r="A2" s="31" t="s">
        <v>151</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row>
    <row r="4" spans="1:29" ht="24" customHeight="1" x14ac:dyDescent="0.3">
      <c r="A4" s="34" t="s">
        <v>152</v>
      </c>
      <c r="B4" s="32"/>
      <c r="C4" s="32"/>
      <c r="D4" s="32"/>
      <c r="E4" s="32"/>
      <c r="F4" s="35" t="s">
        <v>153</v>
      </c>
      <c r="G4" s="32"/>
      <c r="H4" s="32"/>
      <c r="I4" s="36" t="s">
        <v>154</v>
      </c>
      <c r="J4" s="32"/>
      <c r="K4" s="32"/>
      <c r="L4" s="32"/>
      <c r="M4" s="32"/>
      <c r="N4" s="32"/>
      <c r="O4" s="35" t="s">
        <v>155</v>
      </c>
      <c r="P4" s="32"/>
      <c r="Q4" s="32"/>
      <c r="R4" s="32"/>
      <c r="S4" s="36" t="s">
        <v>156</v>
      </c>
      <c r="T4" s="32"/>
      <c r="U4" s="32"/>
      <c r="V4" s="32"/>
      <c r="W4" s="35" t="s">
        <v>157</v>
      </c>
      <c r="X4" s="32"/>
      <c r="Y4" s="32"/>
      <c r="Z4" s="32"/>
      <c r="AA4" s="36" t="s">
        <v>158</v>
      </c>
      <c r="AB4" s="32"/>
      <c r="AC4" s="32"/>
    </row>
    <row r="5" spans="1:29" ht="25.95" customHeight="1" x14ac:dyDescent="0.3">
      <c r="A5" s="1" t="s">
        <v>2</v>
      </c>
      <c r="B5" s="1" t="s">
        <v>3</v>
      </c>
      <c r="C5" s="1" t="s">
        <v>159</v>
      </c>
      <c r="D5" s="1" t="s">
        <v>160</v>
      </c>
      <c r="E5" s="1" t="s">
        <v>161</v>
      </c>
      <c r="F5" s="2" t="s">
        <v>162</v>
      </c>
      <c r="G5" s="2" t="s">
        <v>163</v>
      </c>
      <c r="H5" s="2" t="s">
        <v>164</v>
      </c>
      <c r="I5" s="13" t="s">
        <v>165</v>
      </c>
      <c r="J5" s="13" t="s">
        <v>166</v>
      </c>
      <c r="K5" s="13" t="s">
        <v>167</v>
      </c>
      <c r="L5" s="13" t="s">
        <v>168</v>
      </c>
      <c r="M5" s="13" t="s">
        <v>169</v>
      </c>
      <c r="N5" s="13" t="s">
        <v>170</v>
      </c>
      <c r="O5" s="2" t="s">
        <v>171</v>
      </c>
      <c r="P5" s="2" t="s">
        <v>172</v>
      </c>
      <c r="Q5" s="2" t="s">
        <v>173</v>
      </c>
      <c r="R5" s="2" t="s">
        <v>174</v>
      </c>
      <c r="S5" s="13" t="s">
        <v>175</v>
      </c>
      <c r="T5" s="13" t="s">
        <v>176</v>
      </c>
      <c r="U5" s="13" t="s">
        <v>177</v>
      </c>
      <c r="V5" s="13" t="s">
        <v>178</v>
      </c>
      <c r="W5" s="2" t="s">
        <v>179</v>
      </c>
      <c r="X5" s="2" t="s">
        <v>180</v>
      </c>
      <c r="Y5" s="2" t="s">
        <v>181</v>
      </c>
      <c r="Z5" s="2" t="s">
        <v>182</v>
      </c>
      <c r="AA5" s="13" t="s">
        <v>183</v>
      </c>
      <c r="AB5" s="13" t="s">
        <v>184</v>
      </c>
      <c r="AC5" s="13" t="s">
        <v>185</v>
      </c>
    </row>
    <row r="6" spans="1:29" ht="19.95" customHeight="1" x14ac:dyDescent="0.3">
      <c r="A6" s="3">
        <v>1</v>
      </c>
      <c r="B6" s="3" t="s">
        <v>15</v>
      </c>
      <c r="C6" s="4" t="s">
        <v>16</v>
      </c>
      <c r="D6" s="3">
        <v>3</v>
      </c>
      <c r="E6" s="3" t="s">
        <v>17</v>
      </c>
      <c r="F6" s="5" t="s">
        <v>186</v>
      </c>
      <c r="G6" s="14"/>
      <c r="H6" s="14"/>
      <c r="I6" s="14"/>
      <c r="J6" s="14"/>
      <c r="K6" s="14"/>
      <c r="L6" s="14"/>
      <c r="M6" s="14"/>
      <c r="N6" s="14"/>
      <c r="O6" s="5" t="s">
        <v>186</v>
      </c>
      <c r="P6" s="14"/>
      <c r="Q6" s="14"/>
      <c r="R6" s="14"/>
      <c r="S6" s="14"/>
      <c r="T6" s="5" t="s">
        <v>186</v>
      </c>
      <c r="U6" s="14"/>
      <c r="V6" s="14"/>
      <c r="W6" s="14"/>
      <c r="X6" s="14"/>
      <c r="Y6" s="14"/>
      <c r="Z6" s="14"/>
      <c r="AA6" s="14"/>
      <c r="AB6" s="14"/>
      <c r="AC6" s="14"/>
    </row>
    <row r="7" spans="1:29" ht="19.95" customHeight="1" x14ac:dyDescent="0.3">
      <c r="A7" s="7">
        <v>2</v>
      </c>
      <c r="B7" s="7" t="s">
        <v>23</v>
      </c>
      <c r="C7" s="8" t="s">
        <v>24</v>
      </c>
      <c r="D7" s="7">
        <v>3</v>
      </c>
      <c r="E7" s="7" t="s">
        <v>25</v>
      </c>
      <c r="F7" s="15"/>
      <c r="G7" s="15"/>
      <c r="H7" s="15"/>
      <c r="I7" s="15"/>
      <c r="J7" s="15"/>
      <c r="K7" s="15"/>
      <c r="L7" s="5" t="s">
        <v>186</v>
      </c>
      <c r="M7" s="15"/>
      <c r="N7" s="15"/>
      <c r="O7" s="5" t="s">
        <v>186</v>
      </c>
      <c r="P7" s="15"/>
      <c r="Q7" s="15"/>
      <c r="R7" s="5" t="s">
        <v>186</v>
      </c>
      <c r="S7" s="15"/>
      <c r="T7" s="15"/>
      <c r="U7" s="15"/>
      <c r="V7" s="15"/>
      <c r="W7" s="15"/>
      <c r="X7" s="15"/>
      <c r="Y7" s="15"/>
      <c r="Z7" s="15"/>
      <c r="AA7" s="15"/>
      <c r="AB7" s="15"/>
      <c r="AC7" s="15"/>
    </row>
    <row r="8" spans="1:29" ht="19.95" customHeight="1" x14ac:dyDescent="0.3">
      <c r="A8" s="3">
        <v>3</v>
      </c>
      <c r="B8" s="3" t="s">
        <v>30</v>
      </c>
      <c r="C8" s="4" t="s">
        <v>31</v>
      </c>
      <c r="D8" s="3">
        <v>3</v>
      </c>
      <c r="E8" s="3" t="s">
        <v>25</v>
      </c>
      <c r="F8" s="5" t="s">
        <v>186</v>
      </c>
      <c r="G8" s="14"/>
      <c r="H8" s="14"/>
      <c r="I8" s="14"/>
      <c r="J8" s="14"/>
      <c r="K8" s="14"/>
      <c r="L8" s="5" t="s">
        <v>186</v>
      </c>
      <c r="M8" s="14"/>
      <c r="N8" s="14"/>
      <c r="O8" s="14"/>
      <c r="P8" s="14"/>
      <c r="Q8" s="14"/>
      <c r="R8" s="14"/>
      <c r="S8" s="5" t="s">
        <v>186</v>
      </c>
      <c r="T8" s="14"/>
      <c r="U8" s="14"/>
      <c r="V8" s="14"/>
      <c r="W8" s="14"/>
      <c r="X8" s="14"/>
      <c r="Y8" s="14"/>
      <c r="Z8" s="14"/>
      <c r="AA8" s="14"/>
      <c r="AB8" s="14"/>
      <c r="AC8" s="14"/>
    </row>
    <row r="9" spans="1:29" ht="19.95" customHeight="1" x14ac:dyDescent="0.3">
      <c r="A9" s="7">
        <v>4</v>
      </c>
      <c r="B9" s="7" t="s">
        <v>33</v>
      </c>
      <c r="C9" s="8" t="s">
        <v>34</v>
      </c>
      <c r="D9" s="7">
        <v>3</v>
      </c>
      <c r="E9" s="7" t="s">
        <v>25</v>
      </c>
      <c r="F9" s="15"/>
      <c r="G9" s="15"/>
      <c r="H9" s="15"/>
      <c r="I9" s="5" t="s">
        <v>186</v>
      </c>
      <c r="J9" s="15"/>
      <c r="K9" s="15"/>
      <c r="L9" s="5" t="s">
        <v>186</v>
      </c>
      <c r="M9" s="15"/>
      <c r="N9" s="15"/>
      <c r="O9" s="5" t="s">
        <v>186</v>
      </c>
      <c r="P9" s="15"/>
      <c r="Q9" s="15"/>
      <c r="R9" s="15"/>
      <c r="S9" s="15"/>
      <c r="T9" s="15"/>
      <c r="U9" s="15"/>
      <c r="V9" s="15"/>
      <c r="W9" s="15"/>
      <c r="X9" s="15"/>
      <c r="Y9" s="15"/>
      <c r="Z9" s="15"/>
      <c r="AA9" s="15"/>
      <c r="AB9" s="15"/>
      <c r="AC9" s="15"/>
    </row>
    <row r="10" spans="1:29" ht="19.95" customHeight="1" x14ac:dyDescent="0.3">
      <c r="A10" s="3">
        <v>5</v>
      </c>
      <c r="B10" s="3" t="s">
        <v>36</v>
      </c>
      <c r="C10" s="4" t="s">
        <v>37</v>
      </c>
      <c r="D10" s="3">
        <v>3</v>
      </c>
      <c r="E10" s="3" t="s">
        <v>25</v>
      </c>
      <c r="F10" s="14"/>
      <c r="G10" s="14"/>
      <c r="H10" s="14"/>
      <c r="I10" s="14"/>
      <c r="J10" s="5" t="s">
        <v>186</v>
      </c>
      <c r="K10" s="14"/>
      <c r="L10" s="5" t="s">
        <v>186</v>
      </c>
      <c r="M10" s="14"/>
      <c r="N10" s="14"/>
      <c r="O10" s="14"/>
      <c r="P10" s="14"/>
      <c r="Q10" s="14"/>
      <c r="R10" s="14"/>
      <c r="S10" s="14"/>
      <c r="T10" s="14"/>
      <c r="U10" s="14"/>
      <c r="V10" s="14"/>
      <c r="W10" s="14"/>
      <c r="X10" s="5" t="s">
        <v>186</v>
      </c>
      <c r="Y10" s="14"/>
      <c r="Z10" s="14"/>
      <c r="AA10" s="14"/>
      <c r="AB10" s="14"/>
      <c r="AC10" s="14"/>
    </row>
    <row r="11" spans="1:29" ht="19.95" customHeight="1" x14ac:dyDescent="0.3">
      <c r="A11" s="7">
        <v>6</v>
      </c>
      <c r="B11" s="7" t="s">
        <v>39</v>
      </c>
      <c r="C11" s="8" t="s">
        <v>40</v>
      </c>
      <c r="D11" s="7">
        <v>3</v>
      </c>
      <c r="E11" s="7" t="s">
        <v>25</v>
      </c>
      <c r="F11" s="15"/>
      <c r="G11" s="15"/>
      <c r="H11" s="15"/>
      <c r="I11" s="15"/>
      <c r="J11" s="5" t="s">
        <v>186</v>
      </c>
      <c r="K11" s="15"/>
      <c r="L11" s="5" t="s">
        <v>186</v>
      </c>
      <c r="M11" s="15"/>
      <c r="N11" s="15"/>
      <c r="O11" s="15"/>
      <c r="P11" s="15"/>
      <c r="Q11" s="15"/>
      <c r="R11" s="15"/>
      <c r="S11" s="15"/>
      <c r="T11" s="15"/>
      <c r="U11" s="15"/>
      <c r="V11" s="15"/>
      <c r="W11" s="15"/>
      <c r="X11" s="5" t="s">
        <v>186</v>
      </c>
      <c r="Y11" s="15"/>
      <c r="Z11" s="15"/>
      <c r="AA11" s="15"/>
      <c r="AB11" s="15"/>
      <c r="AC11" s="15"/>
    </row>
    <row r="12" spans="1:29" ht="19.95" customHeight="1" x14ac:dyDescent="0.3">
      <c r="A12" s="3">
        <v>7</v>
      </c>
      <c r="B12" s="3" t="s">
        <v>41</v>
      </c>
      <c r="C12" s="4" t="s">
        <v>42</v>
      </c>
      <c r="D12" s="3">
        <v>2</v>
      </c>
      <c r="E12" s="3" t="s">
        <v>17</v>
      </c>
      <c r="F12" s="14"/>
      <c r="G12" s="14"/>
      <c r="H12" s="14"/>
      <c r="I12" s="14"/>
      <c r="J12" s="14"/>
      <c r="K12" s="14"/>
      <c r="L12" s="14"/>
      <c r="M12" s="14"/>
      <c r="N12" s="14"/>
      <c r="O12" s="14"/>
      <c r="P12" s="14"/>
      <c r="Q12" s="14"/>
      <c r="R12" s="14"/>
      <c r="S12" s="14"/>
      <c r="T12" s="14"/>
      <c r="U12" s="14"/>
      <c r="V12" s="14"/>
      <c r="W12" s="5" t="s">
        <v>186</v>
      </c>
      <c r="X12" s="14"/>
      <c r="Y12" s="14"/>
      <c r="Z12" s="14"/>
      <c r="AA12" s="14"/>
      <c r="AB12" s="14"/>
      <c r="AC12" s="14"/>
    </row>
    <row r="13" spans="1:29" ht="19.95" customHeight="1" x14ac:dyDescent="0.3">
      <c r="A13" s="7">
        <v>8</v>
      </c>
      <c r="B13" s="7" t="s">
        <v>44</v>
      </c>
      <c r="C13" s="8" t="s">
        <v>45</v>
      </c>
      <c r="D13" s="7">
        <v>3</v>
      </c>
      <c r="E13" s="7" t="s">
        <v>25</v>
      </c>
      <c r="F13" s="15"/>
      <c r="G13" s="15"/>
      <c r="H13" s="15"/>
      <c r="I13" s="15"/>
      <c r="J13" s="15"/>
      <c r="K13" s="15"/>
      <c r="L13" s="15"/>
      <c r="M13" s="15"/>
      <c r="N13" s="15"/>
      <c r="O13" s="15"/>
      <c r="P13" s="15"/>
      <c r="Q13" s="15"/>
      <c r="R13" s="15"/>
      <c r="S13" s="15"/>
      <c r="T13" s="15"/>
      <c r="U13" s="15"/>
      <c r="V13" s="15"/>
      <c r="W13" s="5" t="s">
        <v>186</v>
      </c>
      <c r="X13" s="5" t="s">
        <v>186</v>
      </c>
      <c r="Y13" s="15"/>
      <c r="Z13" s="15"/>
      <c r="AA13" s="15"/>
      <c r="AB13" s="15"/>
      <c r="AC13" s="15"/>
    </row>
    <row r="14" spans="1:29" ht="19.95" customHeight="1" x14ac:dyDescent="0.3">
      <c r="A14" s="3">
        <v>9</v>
      </c>
      <c r="B14" s="3" t="s">
        <v>47</v>
      </c>
      <c r="C14" s="4" t="s">
        <v>48</v>
      </c>
      <c r="D14" s="3">
        <v>3</v>
      </c>
      <c r="E14" s="3" t="s">
        <v>25</v>
      </c>
      <c r="F14" s="14"/>
      <c r="G14" s="14"/>
      <c r="H14" s="14"/>
      <c r="I14" s="14"/>
      <c r="J14" s="14"/>
      <c r="K14" s="14"/>
      <c r="L14" s="5" t="s">
        <v>186</v>
      </c>
      <c r="M14" s="14"/>
      <c r="N14" s="14"/>
      <c r="O14" s="5" t="s">
        <v>186</v>
      </c>
      <c r="P14" s="14"/>
      <c r="Q14" s="14"/>
      <c r="R14" s="14"/>
      <c r="S14" s="14"/>
      <c r="T14" s="14"/>
      <c r="U14" s="14"/>
      <c r="V14" s="14"/>
      <c r="W14" s="14"/>
      <c r="X14" s="5" t="s">
        <v>186</v>
      </c>
      <c r="Y14" s="14"/>
      <c r="Z14" s="14"/>
      <c r="AA14" s="14"/>
      <c r="AB14" s="14"/>
      <c r="AC14" s="14"/>
    </row>
    <row r="15" spans="1:29" ht="19.95" customHeight="1" x14ac:dyDescent="0.3">
      <c r="A15" s="7">
        <v>10</v>
      </c>
      <c r="B15" s="7" t="s">
        <v>50</v>
      </c>
      <c r="C15" s="8" t="s">
        <v>51</v>
      </c>
      <c r="D15" s="7">
        <v>3</v>
      </c>
      <c r="E15" s="7" t="s">
        <v>25</v>
      </c>
      <c r="F15" s="15"/>
      <c r="G15" s="15"/>
      <c r="H15" s="15"/>
      <c r="I15" s="15"/>
      <c r="J15" s="15"/>
      <c r="K15" s="15"/>
      <c r="L15" s="15"/>
      <c r="M15" s="15"/>
      <c r="N15" s="15"/>
      <c r="O15" s="5" t="s">
        <v>186</v>
      </c>
      <c r="P15" s="15"/>
      <c r="Q15" s="15"/>
      <c r="R15" s="5" t="s">
        <v>186</v>
      </c>
      <c r="S15" s="15"/>
      <c r="T15" s="15"/>
      <c r="U15" s="15"/>
      <c r="V15" s="15"/>
      <c r="W15" s="5" t="s">
        <v>186</v>
      </c>
      <c r="X15" s="15"/>
      <c r="Y15" s="15"/>
      <c r="Z15" s="15"/>
      <c r="AA15" s="15"/>
      <c r="AB15" s="5" t="s">
        <v>186</v>
      </c>
      <c r="AC15" s="15"/>
    </row>
    <row r="16" spans="1:29" ht="19.95" customHeight="1" x14ac:dyDescent="0.3">
      <c r="A16" s="3">
        <v>11</v>
      </c>
      <c r="B16" s="3" t="s">
        <v>53</v>
      </c>
      <c r="C16" s="4" t="s">
        <v>54</v>
      </c>
      <c r="D16" s="3">
        <v>3</v>
      </c>
      <c r="E16" s="3" t="s">
        <v>25</v>
      </c>
      <c r="F16" s="14"/>
      <c r="G16" s="14"/>
      <c r="H16" s="14"/>
      <c r="I16" s="5" t="s">
        <v>186</v>
      </c>
      <c r="J16" s="14"/>
      <c r="K16" s="14"/>
      <c r="L16" s="14"/>
      <c r="M16" s="14"/>
      <c r="N16" s="14"/>
      <c r="O16" s="5" t="s">
        <v>186</v>
      </c>
      <c r="P16" s="14"/>
      <c r="Q16" s="14"/>
      <c r="R16" s="14"/>
      <c r="S16" s="14"/>
      <c r="T16" s="14"/>
      <c r="U16" s="14"/>
      <c r="V16" s="14"/>
      <c r="W16" s="14"/>
      <c r="X16" s="5" t="s">
        <v>186</v>
      </c>
      <c r="Y16" s="14"/>
      <c r="Z16" s="14"/>
      <c r="AA16" s="14"/>
      <c r="AB16" s="14"/>
      <c r="AC16" s="14"/>
    </row>
    <row r="17" spans="1:29" ht="19.95" customHeight="1" x14ac:dyDescent="0.3">
      <c r="A17" s="7">
        <v>12</v>
      </c>
      <c r="B17" s="7" t="s">
        <v>55</v>
      </c>
      <c r="C17" s="8" t="s">
        <v>56</v>
      </c>
      <c r="D17" s="7">
        <v>3</v>
      </c>
      <c r="E17" s="7" t="s">
        <v>25</v>
      </c>
      <c r="F17" s="15"/>
      <c r="G17" s="15"/>
      <c r="H17" s="15"/>
      <c r="I17" s="15"/>
      <c r="J17" s="15"/>
      <c r="K17" s="15"/>
      <c r="L17" s="5" t="s">
        <v>186</v>
      </c>
      <c r="M17" s="15"/>
      <c r="N17" s="15"/>
      <c r="O17" s="5" t="s">
        <v>186</v>
      </c>
      <c r="P17" s="15"/>
      <c r="Q17" s="15"/>
      <c r="R17" s="15"/>
      <c r="S17" s="15"/>
      <c r="T17" s="15"/>
      <c r="U17" s="15"/>
      <c r="V17" s="15"/>
      <c r="W17" s="15"/>
      <c r="X17" s="5" t="s">
        <v>186</v>
      </c>
      <c r="Y17" s="15"/>
      <c r="Z17" s="15"/>
      <c r="AA17" s="15"/>
      <c r="AB17" s="15"/>
      <c r="AC17" s="15"/>
    </row>
    <row r="18" spans="1:29" ht="19.95" customHeight="1" x14ac:dyDescent="0.3">
      <c r="A18" s="3">
        <v>13</v>
      </c>
      <c r="B18" s="3" t="s">
        <v>57</v>
      </c>
      <c r="C18" s="4" t="s">
        <v>58</v>
      </c>
      <c r="D18" s="3">
        <v>3</v>
      </c>
      <c r="E18" s="3" t="s">
        <v>17</v>
      </c>
      <c r="F18" s="14"/>
      <c r="G18" s="14"/>
      <c r="H18" s="14"/>
      <c r="I18" s="14"/>
      <c r="J18" s="14"/>
      <c r="K18" s="14"/>
      <c r="L18" s="14"/>
      <c r="M18" s="14"/>
      <c r="N18" s="14"/>
      <c r="O18" s="14"/>
      <c r="P18" s="14"/>
      <c r="Q18" s="14"/>
      <c r="R18" s="5" t="s">
        <v>186</v>
      </c>
      <c r="S18" s="14"/>
      <c r="T18" s="14"/>
      <c r="U18" s="14"/>
      <c r="V18" s="14"/>
      <c r="W18" s="14"/>
      <c r="X18" s="5" t="s">
        <v>186</v>
      </c>
      <c r="Y18" s="14"/>
      <c r="Z18" s="14"/>
      <c r="AA18" s="14"/>
      <c r="AB18" s="14"/>
      <c r="AC18" s="14"/>
    </row>
    <row r="19" spans="1:29" ht="19.95" customHeight="1" x14ac:dyDescent="0.3">
      <c r="A19" s="7">
        <v>14</v>
      </c>
      <c r="B19" s="7" t="s">
        <v>60</v>
      </c>
      <c r="C19" s="8" t="s">
        <v>61</v>
      </c>
      <c r="D19" s="7">
        <v>3</v>
      </c>
      <c r="E19" s="7" t="s">
        <v>25</v>
      </c>
      <c r="F19" s="5" t="s">
        <v>186</v>
      </c>
      <c r="G19" s="15"/>
      <c r="H19" s="15"/>
      <c r="I19" s="15"/>
      <c r="J19" s="15"/>
      <c r="K19" s="15"/>
      <c r="L19" s="5" t="s">
        <v>186</v>
      </c>
      <c r="M19" s="15"/>
      <c r="N19" s="15"/>
      <c r="O19" s="15"/>
      <c r="P19" s="15"/>
      <c r="Q19" s="15"/>
      <c r="R19" s="5" t="s">
        <v>186</v>
      </c>
      <c r="S19" s="15"/>
      <c r="T19" s="15"/>
      <c r="U19" s="15"/>
      <c r="V19" s="15"/>
      <c r="W19" s="5" t="s">
        <v>186</v>
      </c>
      <c r="X19" s="5" t="s">
        <v>186</v>
      </c>
      <c r="Y19" s="15"/>
      <c r="Z19" s="15"/>
      <c r="AA19" s="15"/>
      <c r="AB19" s="15"/>
      <c r="AC19" s="15"/>
    </row>
    <row r="20" spans="1:29" ht="19.95" customHeight="1" x14ac:dyDescent="0.3">
      <c r="A20" s="3">
        <v>15</v>
      </c>
      <c r="B20" s="3" t="s">
        <v>63</v>
      </c>
      <c r="C20" s="4" t="s">
        <v>64</v>
      </c>
      <c r="D20" s="3">
        <v>2</v>
      </c>
      <c r="E20" s="3" t="s">
        <v>17</v>
      </c>
      <c r="F20" s="14"/>
      <c r="G20" s="14"/>
      <c r="H20" s="14"/>
      <c r="I20" s="14"/>
      <c r="J20" s="14"/>
      <c r="K20" s="14"/>
      <c r="L20" s="14"/>
      <c r="M20" s="14"/>
      <c r="N20" s="14"/>
      <c r="O20" s="14"/>
      <c r="P20" s="14"/>
      <c r="Q20" s="14"/>
      <c r="R20" s="14"/>
      <c r="S20" s="14"/>
      <c r="T20" s="14"/>
      <c r="U20" s="14"/>
      <c r="V20" s="14"/>
      <c r="W20" s="14"/>
      <c r="X20" s="5" t="s">
        <v>186</v>
      </c>
      <c r="Y20" s="14"/>
      <c r="Z20" s="14"/>
      <c r="AA20" s="14"/>
      <c r="AB20" s="14"/>
      <c r="AC20" s="14"/>
    </row>
    <row r="21" spans="1:29" ht="19.95" customHeight="1" x14ac:dyDescent="0.3">
      <c r="A21" s="7">
        <v>16</v>
      </c>
      <c r="B21" s="7" t="s">
        <v>65</v>
      </c>
      <c r="C21" s="8" t="s">
        <v>66</v>
      </c>
      <c r="D21" s="7">
        <v>3</v>
      </c>
      <c r="E21" s="7" t="s">
        <v>25</v>
      </c>
      <c r="F21" s="15"/>
      <c r="G21" s="5" t="s">
        <v>186</v>
      </c>
      <c r="H21" s="5" t="s">
        <v>186</v>
      </c>
      <c r="I21" s="15"/>
      <c r="J21" s="15"/>
      <c r="K21" s="15"/>
      <c r="L21" s="15"/>
      <c r="M21" s="15"/>
      <c r="N21" s="15"/>
      <c r="O21" s="15"/>
      <c r="P21" s="15"/>
      <c r="Q21" s="15"/>
      <c r="R21" s="15"/>
      <c r="S21" s="15"/>
      <c r="T21" s="15"/>
      <c r="U21" s="15"/>
      <c r="V21" s="15"/>
      <c r="W21" s="15"/>
      <c r="X21" s="15"/>
      <c r="Y21" s="15"/>
      <c r="Z21" s="15"/>
      <c r="AA21" s="15"/>
      <c r="AB21" s="15"/>
      <c r="AC21" s="15"/>
    </row>
    <row r="22" spans="1:29" ht="19.95" customHeight="1" x14ac:dyDescent="0.3">
      <c r="A22" s="3">
        <v>17</v>
      </c>
      <c r="B22" s="3" t="s">
        <v>69</v>
      </c>
      <c r="C22" s="4" t="s">
        <v>70</v>
      </c>
      <c r="D22" s="3">
        <v>3</v>
      </c>
      <c r="E22" s="3" t="s">
        <v>25</v>
      </c>
      <c r="F22" s="14"/>
      <c r="G22" s="14"/>
      <c r="H22" s="14"/>
      <c r="I22" s="14"/>
      <c r="J22" s="14"/>
      <c r="K22" s="14"/>
      <c r="L22" s="5" t="s">
        <v>186</v>
      </c>
      <c r="M22" s="14"/>
      <c r="N22" s="14"/>
      <c r="O22" s="5" t="s">
        <v>186</v>
      </c>
      <c r="P22" s="14"/>
      <c r="Q22" s="14"/>
      <c r="R22" s="14"/>
      <c r="S22" s="5" t="s">
        <v>186</v>
      </c>
      <c r="T22" s="14"/>
      <c r="U22" s="14"/>
      <c r="V22" s="14"/>
      <c r="W22" s="14"/>
      <c r="X22" s="5" t="s">
        <v>186</v>
      </c>
      <c r="Y22" s="14"/>
      <c r="Z22" s="14"/>
      <c r="AA22" s="14"/>
      <c r="AB22" s="14"/>
      <c r="AC22" s="14"/>
    </row>
    <row r="23" spans="1:29" ht="19.95" customHeight="1" x14ac:dyDescent="0.3">
      <c r="A23" s="7">
        <v>18</v>
      </c>
      <c r="B23" s="7" t="s">
        <v>72</v>
      </c>
      <c r="C23" s="8" t="s">
        <v>73</v>
      </c>
      <c r="D23" s="7">
        <v>3</v>
      </c>
      <c r="E23" s="7" t="s">
        <v>25</v>
      </c>
      <c r="F23" s="5" t="s">
        <v>186</v>
      </c>
      <c r="G23" s="15"/>
      <c r="H23" s="15"/>
      <c r="I23" s="15"/>
      <c r="J23" s="15"/>
      <c r="K23" s="15"/>
      <c r="L23" s="5" t="s">
        <v>186</v>
      </c>
      <c r="M23" s="15"/>
      <c r="N23" s="15"/>
      <c r="O23" s="15"/>
      <c r="P23" s="15"/>
      <c r="Q23" s="15"/>
      <c r="R23" s="15"/>
      <c r="S23" s="15"/>
      <c r="T23" s="15"/>
      <c r="U23" s="15"/>
      <c r="V23" s="15"/>
      <c r="W23" s="15"/>
      <c r="X23" s="5" t="s">
        <v>186</v>
      </c>
      <c r="Y23" s="15"/>
      <c r="Z23" s="15"/>
      <c r="AA23" s="15"/>
      <c r="AB23" s="15"/>
      <c r="AC23" s="15"/>
    </row>
    <row r="24" spans="1:29" ht="19.95" customHeight="1" x14ac:dyDescent="0.3">
      <c r="A24" s="3">
        <v>19</v>
      </c>
      <c r="B24" s="3" t="s">
        <v>75</v>
      </c>
      <c r="C24" s="4" t="s">
        <v>76</v>
      </c>
      <c r="D24" s="3">
        <v>3</v>
      </c>
      <c r="E24" s="3" t="s">
        <v>25</v>
      </c>
      <c r="F24" s="14"/>
      <c r="G24" s="14"/>
      <c r="H24" s="14"/>
      <c r="I24" s="14"/>
      <c r="J24" s="14"/>
      <c r="K24" s="14"/>
      <c r="L24" s="14"/>
      <c r="M24" s="14"/>
      <c r="N24" s="14"/>
      <c r="O24" s="5" t="s">
        <v>186</v>
      </c>
      <c r="P24" s="14"/>
      <c r="Q24" s="14"/>
      <c r="R24" s="5" t="s">
        <v>186</v>
      </c>
      <c r="S24" s="14"/>
      <c r="T24" s="14"/>
      <c r="U24" s="14"/>
      <c r="V24" s="14"/>
      <c r="W24" s="14"/>
      <c r="X24" s="14"/>
      <c r="Y24" s="14"/>
      <c r="Z24" s="14"/>
      <c r="AA24" s="14"/>
      <c r="AB24" s="5" t="s">
        <v>186</v>
      </c>
      <c r="AC24" s="14"/>
    </row>
    <row r="25" spans="1:29" ht="19.95" customHeight="1" x14ac:dyDescent="0.3">
      <c r="A25" s="7">
        <v>20</v>
      </c>
      <c r="B25" s="7" t="s">
        <v>78</v>
      </c>
      <c r="C25" s="8" t="s">
        <v>79</v>
      </c>
      <c r="D25" s="7">
        <v>3</v>
      </c>
      <c r="E25" s="7" t="s">
        <v>25</v>
      </c>
      <c r="F25" s="15"/>
      <c r="G25" s="15"/>
      <c r="H25" s="5" t="s">
        <v>186</v>
      </c>
      <c r="I25" s="15"/>
      <c r="J25" s="15"/>
      <c r="K25" s="15"/>
      <c r="L25" s="15"/>
      <c r="M25" s="15"/>
      <c r="N25" s="15"/>
      <c r="O25" s="15"/>
      <c r="P25" s="15"/>
      <c r="Q25" s="15"/>
      <c r="R25" s="15"/>
      <c r="S25" s="15"/>
      <c r="T25" s="15"/>
      <c r="U25" s="15"/>
      <c r="V25" s="15"/>
      <c r="W25" s="15"/>
      <c r="X25" s="15"/>
      <c r="Y25" s="15"/>
      <c r="Z25" s="15"/>
      <c r="AA25" s="15"/>
      <c r="AB25" s="15"/>
      <c r="AC25" s="15"/>
    </row>
    <row r="26" spans="1:29" ht="19.95" customHeight="1" x14ac:dyDescent="0.3">
      <c r="A26" s="3">
        <v>21</v>
      </c>
      <c r="B26" s="3" t="s">
        <v>80</v>
      </c>
      <c r="C26" s="4" t="s">
        <v>81</v>
      </c>
      <c r="D26" s="3">
        <v>3</v>
      </c>
      <c r="E26" s="3" t="s">
        <v>25</v>
      </c>
      <c r="F26" s="14"/>
      <c r="G26" s="14"/>
      <c r="H26" s="14"/>
      <c r="I26" s="14"/>
      <c r="J26" s="5" t="s">
        <v>186</v>
      </c>
      <c r="K26" s="14"/>
      <c r="L26" s="5" t="s">
        <v>186</v>
      </c>
      <c r="M26" s="14"/>
      <c r="N26" s="14"/>
      <c r="O26" s="5" t="s">
        <v>186</v>
      </c>
      <c r="P26" s="14"/>
      <c r="Q26" s="14"/>
      <c r="R26" s="14"/>
      <c r="S26" s="14"/>
      <c r="T26" s="14"/>
      <c r="U26" s="14"/>
      <c r="V26" s="14"/>
      <c r="W26" s="14"/>
      <c r="X26" s="14"/>
      <c r="Y26" s="14"/>
      <c r="Z26" s="14"/>
      <c r="AA26" s="14"/>
      <c r="AB26" s="14"/>
      <c r="AC26" s="14"/>
    </row>
    <row r="27" spans="1:29" ht="19.95" customHeight="1" x14ac:dyDescent="0.3">
      <c r="A27" s="7">
        <v>22</v>
      </c>
      <c r="B27" s="7" t="s">
        <v>82</v>
      </c>
      <c r="C27" s="8" t="s">
        <v>83</v>
      </c>
      <c r="D27" s="7">
        <v>3</v>
      </c>
      <c r="E27" s="7" t="s">
        <v>25</v>
      </c>
      <c r="F27" s="15"/>
      <c r="G27" s="15"/>
      <c r="H27" s="15"/>
      <c r="I27" s="15"/>
      <c r="J27" s="5" t="s">
        <v>186</v>
      </c>
      <c r="K27" s="15"/>
      <c r="L27" s="15"/>
      <c r="M27" s="15"/>
      <c r="N27" s="15"/>
      <c r="O27" s="15"/>
      <c r="P27" s="15"/>
      <c r="Q27" s="15"/>
      <c r="R27" s="15"/>
      <c r="S27" s="15"/>
      <c r="T27" s="15"/>
      <c r="U27" s="15"/>
      <c r="V27" s="15"/>
      <c r="W27" s="15"/>
      <c r="X27" s="15"/>
      <c r="Y27" s="15"/>
      <c r="Z27" s="15"/>
      <c r="AA27" s="15"/>
      <c r="AB27" s="15"/>
      <c r="AC27" s="15"/>
    </row>
    <row r="28" spans="1:29" ht="19.95" customHeight="1" x14ac:dyDescent="0.3">
      <c r="A28" s="3">
        <v>23</v>
      </c>
      <c r="B28" s="3" t="s">
        <v>85</v>
      </c>
      <c r="C28" s="4" t="s">
        <v>86</v>
      </c>
      <c r="D28" s="3">
        <v>3</v>
      </c>
      <c r="E28" s="3" t="s">
        <v>87</v>
      </c>
      <c r="F28" s="14"/>
      <c r="G28" s="14"/>
      <c r="H28" s="14"/>
      <c r="I28" s="14"/>
      <c r="J28" s="14"/>
      <c r="K28" s="14"/>
      <c r="L28" s="5" t="s">
        <v>186</v>
      </c>
      <c r="M28" s="14"/>
      <c r="N28" s="14"/>
      <c r="O28" s="5" t="s">
        <v>186</v>
      </c>
      <c r="P28" s="14"/>
      <c r="Q28" s="14"/>
      <c r="R28" s="14"/>
      <c r="S28" s="5" t="s">
        <v>186</v>
      </c>
      <c r="T28" s="14"/>
      <c r="U28" s="14"/>
      <c r="V28" s="14"/>
      <c r="W28" s="14"/>
      <c r="X28" s="5" t="s">
        <v>186</v>
      </c>
      <c r="Y28" s="14"/>
      <c r="Z28" s="14"/>
      <c r="AA28" s="14"/>
      <c r="AB28" s="14"/>
      <c r="AC28" s="14"/>
    </row>
    <row r="29" spans="1:29" ht="19.95" customHeight="1" x14ac:dyDescent="0.3">
      <c r="A29" s="7">
        <v>24</v>
      </c>
      <c r="B29" s="7" t="s">
        <v>90</v>
      </c>
      <c r="C29" s="8" t="s">
        <v>91</v>
      </c>
      <c r="D29" s="7">
        <v>3</v>
      </c>
      <c r="E29" s="7" t="s">
        <v>25</v>
      </c>
      <c r="F29" s="15"/>
      <c r="G29" s="15"/>
      <c r="H29" s="15"/>
      <c r="I29" s="15"/>
      <c r="J29" s="5" t="s">
        <v>186</v>
      </c>
      <c r="K29" s="15"/>
      <c r="L29" s="5" t="s">
        <v>186</v>
      </c>
      <c r="M29" s="15"/>
      <c r="N29" s="15"/>
      <c r="O29" s="15"/>
      <c r="P29" s="15"/>
      <c r="Q29" s="15"/>
      <c r="R29" s="5" t="s">
        <v>186</v>
      </c>
      <c r="S29" s="15"/>
      <c r="T29" s="15"/>
      <c r="U29" s="15"/>
      <c r="V29" s="15"/>
      <c r="W29" s="15"/>
      <c r="X29" s="5" t="s">
        <v>186</v>
      </c>
      <c r="Y29" s="15"/>
      <c r="Z29" s="15"/>
      <c r="AA29" s="15"/>
      <c r="AB29" s="15"/>
      <c r="AC29" s="15"/>
    </row>
    <row r="30" spans="1:29" ht="19.95" customHeight="1" x14ac:dyDescent="0.3">
      <c r="A30" s="3">
        <v>25</v>
      </c>
      <c r="B30" s="3" t="s">
        <v>92</v>
      </c>
      <c r="C30" s="4" t="s">
        <v>93</v>
      </c>
      <c r="D30" s="3">
        <v>3</v>
      </c>
      <c r="E30" s="3" t="s">
        <v>25</v>
      </c>
      <c r="F30" s="5" t="s">
        <v>186</v>
      </c>
      <c r="G30" s="14"/>
      <c r="H30" s="5" t="s">
        <v>186</v>
      </c>
      <c r="I30" s="14"/>
      <c r="J30" s="14"/>
      <c r="K30" s="14"/>
      <c r="L30" s="14"/>
      <c r="M30" s="14"/>
      <c r="N30" s="14"/>
      <c r="O30" s="5" t="s">
        <v>186</v>
      </c>
      <c r="P30" s="14"/>
      <c r="Q30" s="14"/>
      <c r="R30" s="14"/>
      <c r="S30" s="14"/>
      <c r="T30" s="14"/>
      <c r="U30" s="14"/>
      <c r="V30" s="14"/>
      <c r="W30" s="14"/>
      <c r="X30" s="14"/>
      <c r="Y30" s="14"/>
      <c r="Z30" s="14"/>
      <c r="AA30" s="14"/>
      <c r="AB30" s="14"/>
      <c r="AC30" s="14"/>
    </row>
    <row r="31" spans="1:29" ht="19.95" customHeight="1" x14ac:dyDescent="0.3">
      <c r="A31" s="7">
        <v>26</v>
      </c>
      <c r="B31" s="7" t="s">
        <v>95</v>
      </c>
      <c r="C31" s="8" t="s">
        <v>96</v>
      </c>
      <c r="D31" s="7">
        <v>3</v>
      </c>
      <c r="E31" s="7" t="s">
        <v>25</v>
      </c>
      <c r="F31" s="15"/>
      <c r="G31" s="15"/>
      <c r="H31" s="15"/>
      <c r="I31" s="15"/>
      <c r="J31" s="15"/>
      <c r="K31" s="15"/>
      <c r="L31" s="15"/>
      <c r="M31" s="15"/>
      <c r="N31" s="15"/>
      <c r="O31" s="15"/>
      <c r="P31" s="15"/>
      <c r="Q31" s="15"/>
      <c r="R31" s="15"/>
      <c r="S31" s="15"/>
      <c r="T31" s="15"/>
      <c r="U31" s="15"/>
      <c r="V31" s="15"/>
      <c r="W31" s="15"/>
      <c r="X31" s="15"/>
      <c r="Y31" s="15"/>
      <c r="Z31" s="15"/>
      <c r="AA31" s="5" t="s">
        <v>186</v>
      </c>
      <c r="AB31" s="5" t="s">
        <v>186</v>
      </c>
      <c r="AC31" s="15"/>
    </row>
    <row r="32" spans="1:29" ht="19.95" customHeight="1" x14ac:dyDescent="0.3">
      <c r="A32" s="3">
        <v>27</v>
      </c>
      <c r="B32" s="3" t="s">
        <v>98</v>
      </c>
      <c r="C32" s="4" t="s">
        <v>99</v>
      </c>
      <c r="D32" s="3">
        <v>3</v>
      </c>
      <c r="E32" s="3" t="s">
        <v>25</v>
      </c>
      <c r="F32" s="14"/>
      <c r="G32" s="14"/>
      <c r="H32" s="5" t="s">
        <v>186</v>
      </c>
      <c r="I32" s="14"/>
      <c r="J32" s="14"/>
      <c r="K32" s="14"/>
      <c r="L32" s="14"/>
      <c r="M32" s="14"/>
      <c r="N32" s="14"/>
      <c r="O32" s="14"/>
      <c r="P32" s="14"/>
      <c r="Q32" s="14"/>
      <c r="R32" s="14"/>
      <c r="S32" s="14"/>
      <c r="T32" s="14"/>
      <c r="U32" s="14"/>
      <c r="V32" s="14"/>
      <c r="W32" s="14"/>
      <c r="X32" s="5" t="s">
        <v>186</v>
      </c>
      <c r="Y32" s="14"/>
      <c r="Z32" s="14"/>
      <c r="AA32" s="14"/>
      <c r="AB32" s="14"/>
      <c r="AC32" s="14"/>
    </row>
    <row r="33" spans="1:29" ht="19.95" customHeight="1" x14ac:dyDescent="0.3">
      <c r="A33" s="7">
        <v>28</v>
      </c>
      <c r="B33" s="7" t="s">
        <v>101</v>
      </c>
      <c r="C33" s="8" t="s">
        <v>102</v>
      </c>
      <c r="D33" s="7">
        <v>3</v>
      </c>
      <c r="E33" s="7" t="s">
        <v>87</v>
      </c>
      <c r="F33" s="15"/>
      <c r="G33" s="15"/>
      <c r="H33" s="15"/>
      <c r="I33" s="15"/>
      <c r="J33" s="15"/>
      <c r="K33" s="15"/>
      <c r="L33" s="5" t="s">
        <v>186</v>
      </c>
      <c r="M33" s="15"/>
      <c r="N33" s="15"/>
      <c r="O33" s="5" t="s">
        <v>186</v>
      </c>
      <c r="P33" s="15"/>
      <c r="Q33" s="15"/>
      <c r="R33" s="15"/>
      <c r="S33" s="15"/>
      <c r="T33" s="15"/>
      <c r="U33" s="15"/>
      <c r="V33" s="15"/>
      <c r="W33" s="5" t="s">
        <v>186</v>
      </c>
      <c r="X33" s="5" t="s">
        <v>186</v>
      </c>
      <c r="Y33" s="15"/>
      <c r="Z33" s="15"/>
      <c r="AA33" s="15"/>
      <c r="AB33" s="15"/>
      <c r="AC33" s="15"/>
    </row>
    <row r="34" spans="1:29" ht="19.95" customHeight="1" x14ac:dyDescent="0.3">
      <c r="A34" s="3">
        <v>29</v>
      </c>
      <c r="B34" s="3" t="s">
        <v>103</v>
      </c>
      <c r="C34" s="4" t="s">
        <v>104</v>
      </c>
      <c r="D34" s="3">
        <v>3</v>
      </c>
      <c r="E34" s="3" t="s">
        <v>87</v>
      </c>
      <c r="F34" s="14"/>
      <c r="G34" s="14"/>
      <c r="H34" s="5" t="s">
        <v>186</v>
      </c>
      <c r="I34" s="14"/>
      <c r="J34" s="14"/>
      <c r="K34" s="14"/>
      <c r="L34" s="5" t="s">
        <v>186</v>
      </c>
      <c r="M34" s="14"/>
      <c r="N34" s="14"/>
      <c r="O34" s="5" t="s">
        <v>186</v>
      </c>
      <c r="P34" s="14"/>
      <c r="Q34" s="14"/>
      <c r="R34" s="14"/>
      <c r="S34" s="14"/>
      <c r="T34" s="14"/>
      <c r="U34" s="14"/>
      <c r="V34" s="14"/>
      <c r="W34" s="14"/>
      <c r="X34" s="5" t="s">
        <v>186</v>
      </c>
      <c r="Y34" s="14"/>
      <c r="Z34" s="14"/>
      <c r="AA34" s="14"/>
      <c r="AB34" s="14"/>
      <c r="AC34" s="14"/>
    </row>
    <row r="35" spans="1:29" ht="19.95" customHeight="1" x14ac:dyDescent="0.3">
      <c r="A35" s="7">
        <v>30</v>
      </c>
      <c r="B35" s="7" t="s">
        <v>105</v>
      </c>
      <c r="C35" s="8" t="s">
        <v>106</v>
      </c>
      <c r="D35" s="7">
        <v>3</v>
      </c>
      <c r="E35" s="7" t="s">
        <v>87</v>
      </c>
      <c r="F35" s="15"/>
      <c r="G35" s="15"/>
      <c r="H35" s="15"/>
      <c r="I35" s="15"/>
      <c r="J35" s="5" t="s">
        <v>186</v>
      </c>
      <c r="K35" s="15"/>
      <c r="L35" s="5" t="s">
        <v>186</v>
      </c>
      <c r="M35" s="15"/>
      <c r="N35" s="15"/>
      <c r="O35" s="15"/>
      <c r="P35" s="15"/>
      <c r="Q35" s="15"/>
      <c r="R35" s="15"/>
      <c r="S35" s="15"/>
      <c r="T35" s="15"/>
      <c r="U35" s="15"/>
      <c r="V35" s="15"/>
      <c r="W35" s="5" t="s">
        <v>186</v>
      </c>
      <c r="X35" s="5" t="s">
        <v>186</v>
      </c>
      <c r="Y35" s="15"/>
      <c r="Z35" s="15"/>
      <c r="AA35" s="15"/>
      <c r="AB35" s="15"/>
      <c r="AC35" s="15"/>
    </row>
    <row r="36" spans="1:29" ht="19.95" customHeight="1" x14ac:dyDescent="0.3">
      <c r="A36" s="3">
        <v>31</v>
      </c>
      <c r="B36" s="3" t="s">
        <v>107</v>
      </c>
      <c r="C36" s="4" t="s">
        <v>108</v>
      </c>
      <c r="D36" s="3">
        <v>3</v>
      </c>
      <c r="E36" s="3" t="s">
        <v>87</v>
      </c>
      <c r="F36" s="14"/>
      <c r="G36" s="14"/>
      <c r="H36" s="14"/>
      <c r="I36" s="14"/>
      <c r="J36" s="14"/>
      <c r="K36" s="14"/>
      <c r="L36" s="14"/>
      <c r="M36" s="14"/>
      <c r="N36" s="14"/>
      <c r="O36" s="14"/>
      <c r="P36" s="14"/>
      <c r="Q36" s="14"/>
      <c r="R36" s="14"/>
      <c r="S36" s="14"/>
      <c r="T36" s="14"/>
      <c r="U36" s="14"/>
      <c r="V36" s="14"/>
      <c r="W36" s="14"/>
      <c r="X36" s="14"/>
      <c r="Y36" s="14"/>
      <c r="Z36" s="14"/>
      <c r="AA36" s="14"/>
      <c r="AB36" s="5" t="s">
        <v>186</v>
      </c>
      <c r="AC36" s="14"/>
    </row>
    <row r="37" spans="1:29" ht="19.95" customHeight="1" x14ac:dyDescent="0.3">
      <c r="A37" s="7">
        <v>32</v>
      </c>
      <c r="B37" s="7" t="s">
        <v>109</v>
      </c>
      <c r="C37" s="8" t="s">
        <v>110</v>
      </c>
      <c r="D37" s="7">
        <v>3</v>
      </c>
      <c r="E37" s="7" t="s">
        <v>87</v>
      </c>
      <c r="F37" s="15"/>
      <c r="G37" s="15"/>
      <c r="H37" s="15"/>
      <c r="I37" s="15"/>
      <c r="J37" s="15"/>
      <c r="K37" s="15"/>
      <c r="L37" s="15"/>
      <c r="M37" s="15"/>
      <c r="N37" s="15"/>
      <c r="O37" s="15"/>
      <c r="P37" s="15"/>
      <c r="Q37" s="15"/>
      <c r="R37" s="15"/>
      <c r="S37" s="15"/>
      <c r="T37" s="15"/>
      <c r="U37" s="15"/>
      <c r="V37" s="15"/>
      <c r="W37" s="15"/>
      <c r="X37" s="15"/>
      <c r="Y37" s="15"/>
      <c r="Z37" s="15"/>
      <c r="AA37" s="5" t="s">
        <v>186</v>
      </c>
      <c r="AB37" s="5" t="s">
        <v>186</v>
      </c>
      <c r="AC37" s="15"/>
    </row>
    <row r="38" spans="1:29" ht="19.95" customHeight="1" x14ac:dyDescent="0.3">
      <c r="A38" s="3">
        <v>33</v>
      </c>
      <c r="B38" s="3" t="s">
        <v>112</v>
      </c>
      <c r="C38" s="4" t="s">
        <v>113</v>
      </c>
      <c r="D38" s="3">
        <v>3</v>
      </c>
      <c r="E38" s="3" t="s">
        <v>25</v>
      </c>
      <c r="F38" s="14"/>
      <c r="G38" s="14"/>
      <c r="H38" s="14"/>
      <c r="I38" s="14"/>
      <c r="J38" s="5" t="s">
        <v>186</v>
      </c>
      <c r="K38" s="14"/>
      <c r="L38" s="5" t="s">
        <v>186</v>
      </c>
      <c r="M38" s="14"/>
      <c r="N38" s="14"/>
      <c r="O38" s="14"/>
      <c r="P38" s="14"/>
      <c r="Q38" s="14"/>
      <c r="R38" s="14"/>
      <c r="S38" s="14"/>
      <c r="T38" s="14"/>
      <c r="U38" s="14"/>
      <c r="V38" s="14"/>
      <c r="W38" s="5" t="s">
        <v>186</v>
      </c>
      <c r="X38" s="14"/>
      <c r="Y38" s="14"/>
      <c r="Z38" s="14"/>
      <c r="AA38" s="14"/>
      <c r="AB38" s="14"/>
      <c r="AC38" s="14"/>
    </row>
    <row r="39" spans="1:29" ht="19.95" customHeight="1" x14ac:dyDescent="0.3">
      <c r="A39" s="7">
        <v>34</v>
      </c>
      <c r="B39" s="7" t="s">
        <v>114</v>
      </c>
      <c r="C39" s="8" t="s">
        <v>115</v>
      </c>
      <c r="D39" s="7">
        <v>3</v>
      </c>
      <c r="E39" s="7" t="s">
        <v>87</v>
      </c>
      <c r="F39" s="15"/>
      <c r="G39" s="5" t="s">
        <v>186</v>
      </c>
      <c r="H39" s="15"/>
      <c r="I39" s="15"/>
      <c r="J39" s="15"/>
      <c r="K39" s="15"/>
      <c r="L39" s="5" t="s">
        <v>186</v>
      </c>
      <c r="M39" s="15"/>
      <c r="N39" s="15"/>
      <c r="O39" s="15"/>
      <c r="P39" s="15"/>
      <c r="Q39" s="15"/>
      <c r="R39" s="15"/>
      <c r="S39" s="15"/>
      <c r="T39" s="5" t="s">
        <v>186</v>
      </c>
      <c r="U39" s="15"/>
      <c r="V39" s="15"/>
      <c r="W39" s="15"/>
      <c r="X39" s="5" t="s">
        <v>186</v>
      </c>
      <c r="Y39" s="15"/>
      <c r="Z39" s="15"/>
      <c r="AA39" s="15"/>
      <c r="AB39" s="15"/>
      <c r="AC39" s="15"/>
    </row>
    <row r="40" spans="1:29" ht="19.95" customHeight="1" x14ac:dyDescent="0.3">
      <c r="A40" s="3">
        <v>35</v>
      </c>
      <c r="B40" s="3" t="s">
        <v>117</v>
      </c>
      <c r="C40" s="4" t="s">
        <v>118</v>
      </c>
      <c r="D40" s="3">
        <v>3</v>
      </c>
      <c r="E40" s="3" t="s">
        <v>87</v>
      </c>
      <c r="F40" s="14"/>
      <c r="G40" s="14"/>
      <c r="H40" s="5" t="s">
        <v>186</v>
      </c>
      <c r="I40" s="5" t="s">
        <v>186</v>
      </c>
      <c r="J40" s="5" t="s">
        <v>186</v>
      </c>
      <c r="K40" s="14"/>
      <c r="L40" s="14"/>
      <c r="M40" s="14"/>
      <c r="N40" s="14"/>
      <c r="O40" s="14"/>
      <c r="P40" s="14"/>
      <c r="Q40" s="14"/>
      <c r="R40" s="14"/>
      <c r="S40" s="14"/>
      <c r="T40" s="14"/>
      <c r="U40" s="14"/>
      <c r="V40" s="14"/>
      <c r="W40" s="14"/>
      <c r="X40" s="5" t="s">
        <v>186</v>
      </c>
      <c r="Y40" s="14"/>
      <c r="Z40" s="14"/>
      <c r="AA40" s="14"/>
      <c r="AB40" s="14"/>
      <c r="AC40" s="14"/>
    </row>
    <row r="41" spans="1:29" ht="19.95" customHeight="1" x14ac:dyDescent="0.3">
      <c r="A41" s="7">
        <v>36</v>
      </c>
      <c r="B41" s="7" t="s">
        <v>120</v>
      </c>
      <c r="C41" s="8" t="s">
        <v>121</v>
      </c>
      <c r="D41" s="7">
        <v>3</v>
      </c>
      <c r="E41" s="7" t="s">
        <v>87</v>
      </c>
      <c r="F41" s="15"/>
      <c r="G41" s="15"/>
      <c r="H41" s="5" t="s">
        <v>186</v>
      </c>
      <c r="I41" s="15"/>
      <c r="J41" s="15"/>
      <c r="K41" s="15"/>
      <c r="L41" s="15"/>
      <c r="M41" s="15"/>
      <c r="N41" s="15"/>
      <c r="O41" s="15"/>
      <c r="P41" s="15"/>
      <c r="Q41" s="15"/>
      <c r="R41" s="15"/>
      <c r="S41" s="15"/>
      <c r="T41" s="15"/>
      <c r="U41" s="15"/>
      <c r="V41" s="15"/>
      <c r="W41" s="15"/>
      <c r="X41" s="5" t="s">
        <v>186</v>
      </c>
      <c r="Y41" s="15"/>
      <c r="Z41" s="15"/>
      <c r="AA41" s="15"/>
      <c r="AB41" s="15"/>
      <c r="AC41" s="15"/>
    </row>
    <row r="42" spans="1:29" ht="19.95" customHeight="1" x14ac:dyDescent="0.3">
      <c r="A42" s="3">
        <v>37</v>
      </c>
      <c r="B42" s="3" t="s">
        <v>122</v>
      </c>
      <c r="C42" s="4" t="s">
        <v>123</v>
      </c>
      <c r="D42" s="3">
        <v>3</v>
      </c>
      <c r="E42" s="3" t="s">
        <v>87</v>
      </c>
      <c r="F42" s="14"/>
      <c r="G42" s="14"/>
      <c r="H42" s="5" t="s">
        <v>186</v>
      </c>
      <c r="I42" s="14"/>
      <c r="J42" s="14"/>
      <c r="K42" s="14"/>
      <c r="L42" s="14"/>
      <c r="M42" s="14"/>
      <c r="N42" s="14"/>
      <c r="O42" s="14"/>
      <c r="P42" s="14"/>
      <c r="Q42" s="14"/>
      <c r="R42" s="14"/>
      <c r="S42" s="14"/>
      <c r="T42" s="14"/>
      <c r="U42" s="14"/>
      <c r="V42" s="14"/>
      <c r="W42" s="14"/>
      <c r="X42" s="14"/>
      <c r="Y42" s="14"/>
      <c r="Z42" s="14"/>
      <c r="AA42" s="5" t="s">
        <v>186</v>
      </c>
      <c r="AB42" s="14"/>
      <c r="AC42" s="14"/>
    </row>
    <row r="43" spans="1:29" ht="19.95" customHeight="1" x14ac:dyDescent="0.3">
      <c r="A43" s="7">
        <v>38</v>
      </c>
      <c r="B43" s="7" t="s">
        <v>125</v>
      </c>
      <c r="C43" s="8" t="s">
        <v>126</v>
      </c>
      <c r="D43" s="7">
        <v>3</v>
      </c>
      <c r="E43" s="7" t="s">
        <v>87</v>
      </c>
      <c r="F43" s="15"/>
      <c r="G43" s="15"/>
      <c r="H43" s="5" t="s">
        <v>186</v>
      </c>
      <c r="I43" s="15"/>
      <c r="J43" s="15"/>
      <c r="K43" s="15"/>
      <c r="L43" s="15"/>
      <c r="M43" s="15"/>
      <c r="N43" s="15"/>
      <c r="O43" s="15"/>
      <c r="P43" s="15"/>
      <c r="Q43" s="15"/>
      <c r="R43" s="15"/>
      <c r="S43" s="15"/>
      <c r="T43" s="15"/>
      <c r="U43" s="15"/>
      <c r="V43" s="15"/>
      <c r="W43" s="15"/>
      <c r="X43" s="15"/>
      <c r="Y43" s="15"/>
      <c r="Z43" s="15"/>
      <c r="AA43" s="5" t="s">
        <v>186</v>
      </c>
      <c r="AB43" s="15"/>
      <c r="AC43" s="15"/>
    </row>
    <row r="44" spans="1:29" ht="19.95" customHeight="1" x14ac:dyDescent="0.3">
      <c r="A44" s="3">
        <v>39</v>
      </c>
      <c r="B44" s="3" t="s">
        <v>127</v>
      </c>
      <c r="C44" s="4" t="s">
        <v>128</v>
      </c>
      <c r="D44" s="3">
        <v>3</v>
      </c>
      <c r="E44" s="3" t="s">
        <v>87</v>
      </c>
      <c r="F44" s="5" t="s">
        <v>186</v>
      </c>
      <c r="G44" s="14"/>
      <c r="H44" s="5" t="s">
        <v>186</v>
      </c>
      <c r="I44" s="14"/>
      <c r="J44" s="14"/>
      <c r="K44" s="14"/>
      <c r="L44" s="14"/>
      <c r="M44" s="14"/>
      <c r="N44" s="14"/>
      <c r="O44" s="14"/>
      <c r="P44" s="14"/>
      <c r="Q44" s="14"/>
      <c r="R44" s="14"/>
      <c r="S44" s="14"/>
      <c r="T44" s="14"/>
      <c r="U44" s="14"/>
      <c r="V44" s="14"/>
      <c r="W44" s="14"/>
      <c r="X44" s="14"/>
      <c r="Y44" s="14"/>
      <c r="Z44" s="14"/>
      <c r="AA44" s="14"/>
      <c r="AB44" s="14"/>
      <c r="AC44" s="14"/>
    </row>
    <row r="45" spans="1:29" ht="19.95" customHeight="1" x14ac:dyDescent="0.3">
      <c r="A45" s="7">
        <v>40</v>
      </c>
      <c r="B45" s="7" t="s">
        <v>129</v>
      </c>
      <c r="C45" s="8" t="s">
        <v>130</v>
      </c>
      <c r="D45" s="7">
        <v>3</v>
      </c>
      <c r="E45" s="7" t="s">
        <v>87</v>
      </c>
      <c r="F45" s="15"/>
      <c r="G45" s="15"/>
      <c r="H45" s="15"/>
      <c r="I45" s="5" t="s">
        <v>186</v>
      </c>
      <c r="J45" s="15"/>
      <c r="K45" s="15"/>
      <c r="L45" s="15"/>
      <c r="M45" s="15"/>
      <c r="N45" s="15"/>
      <c r="O45" s="5" t="s">
        <v>186</v>
      </c>
      <c r="P45" s="15"/>
      <c r="Q45" s="15"/>
      <c r="R45" s="15"/>
      <c r="S45" s="15"/>
      <c r="T45" s="15"/>
      <c r="U45" s="15"/>
      <c r="V45" s="15"/>
      <c r="W45" s="15"/>
      <c r="X45" s="15"/>
      <c r="Y45" s="15"/>
      <c r="Z45" s="15"/>
      <c r="AA45" s="15"/>
      <c r="AB45" s="15"/>
      <c r="AC45" s="15"/>
    </row>
    <row r="46" spans="1:29" ht="19.95" customHeight="1" x14ac:dyDescent="0.3">
      <c r="A46" s="3">
        <v>41</v>
      </c>
      <c r="B46" s="3" t="s">
        <v>131</v>
      </c>
      <c r="C46" s="4" t="s">
        <v>132</v>
      </c>
      <c r="D46" s="3">
        <v>3</v>
      </c>
      <c r="E46" s="3" t="s">
        <v>87</v>
      </c>
      <c r="F46" s="14"/>
      <c r="G46" s="14"/>
      <c r="H46" s="14"/>
      <c r="I46" s="14"/>
      <c r="J46" s="14"/>
      <c r="K46" s="14"/>
      <c r="L46" s="14"/>
      <c r="M46" s="14"/>
      <c r="N46" s="14"/>
      <c r="O46" s="14"/>
      <c r="P46" s="14"/>
      <c r="Q46" s="14"/>
      <c r="R46" s="14"/>
      <c r="S46" s="14"/>
      <c r="T46" s="14"/>
      <c r="U46" s="14"/>
      <c r="V46" s="14"/>
      <c r="W46" s="14"/>
      <c r="X46" s="14"/>
      <c r="Y46" s="14"/>
      <c r="Z46" s="14"/>
      <c r="AA46" s="5" t="s">
        <v>186</v>
      </c>
      <c r="AB46" s="5" t="s">
        <v>186</v>
      </c>
      <c r="AC46" s="5" t="s">
        <v>186</v>
      </c>
    </row>
    <row r="47" spans="1:29" ht="19.95" customHeight="1" x14ac:dyDescent="0.3">
      <c r="A47" s="7">
        <v>42</v>
      </c>
      <c r="B47" s="7" t="s">
        <v>133</v>
      </c>
      <c r="C47" s="8" t="s">
        <v>134</v>
      </c>
      <c r="D47" s="7">
        <v>3</v>
      </c>
      <c r="E47" s="7" t="s">
        <v>87</v>
      </c>
      <c r="F47" s="15"/>
      <c r="G47" s="15"/>
      <c r="H47" s="15"/>
      <c r="I47" s="15"/>
      <c r="J47" s="5" t="s">
        <v>186</v>
      </c>
      <c r="K47" s="15"/>
      <c r="L47" s="5" t="s">
        <v>186</v>
      </c>
      <c r="M47" s="15"/>
      <c r="N47" s="15"/>
      <c r="O47" s="15"/>
      <c r="P47" s="15"/>
      <c r="Q47" s="15"/>
      <c r="R47" s="15"/>
      <c r="S47" s="15"/>
      <c r="T47" s="15"/>
      <c r="U47" s="15"/>
      <c r="V47" s="15"/>
      <c r="W47" s="5" t="s">
        <v>186</v>
      </c>
      <c r="X47" s="15"/>
      <c r="Y47" s="15"/>
      <c r="Z47" s="15"/>
      <c r="AA47" s="15"/>
      <c r="AB47" s="15"/>
      <c r="AC47" s="15"/>
    </row>
    <row r="48" spans="1:29" ht="19.95" customHeight="1" x14ac:dyDescent="0.3">
      <c r="A48" s="3">
        <v>43</v>
      </c>
      <c r="B48" s="3" t="s">
        <v>135</v>
      </c>
      <c r="C48" s="4" t="s">
        <v>136</v>
      </c>
      <c r="D48" s="3">
        <v>3</v>
      </c>
      <c r="E48" s="3" t="s">
        <v>87</v>
      </c>
      <c r="F48" s="14"/>
      <c r="G48" s="14"/>
      <c r="H48" s="14"/>
      <c r="I48" s="14"/>
      <c r="J48" s="14"/>
      <c r="K48" s="14"/>
      <c r="L48" s="5" t="s">
        <v>186</v>
      </c>
      <c r="M48" s="14"/>
      <c r="N48" s="14"/>
      <c r="O48" s="14"/>
      <c r="P48" s="14"/>
      <c r="Q48" s="14"/>
      <c r="R48" s="14"/>
      <c r="S48" s="14"/>
      <c r="T48" s="14"/>
      <c r="U48" s="14"/>
      <c r="V48" s="14"/>
      <c r="W48" s="5" t="s">
        <v>186</v>
      </c>
      <c r="X48" s="5" t="s">
        <v>186</v>
      </c>
      <c r="Y48" s="14"/>
      <c r="Z48" s="14"/>
      <c r="AA48" s="14"/>
      <c r="AB48" s="14"/>
      <c r="AC48" s="14"/>
    </row>
    <row r="49" spans="1:29" ht="19.95" customHeight="1" x14ac:dyDescent="0.3">
      <c r="A49" s="7">
        <v>44</v>
      </c>
      <c r="B49" s="7" t="s">
        <v>137</v>
      </c>
      <c r="C49" s="8" t="s">
        <v>138</v>
      </c>
      <c r="D49" s="7">
        <v>3</v>
      </c>
      <c r="E49" s="7" t="s">
        <v>87</v>
      </c>
      <c r="F49" s="15"/>
      <c r="G49" s="15"/>
      <c r="H49" s="15"/>
      <c r="I49" s="15"/>
      <c r="J49" s="15"/>
      <c r="K49" s="15"/>
      <c r="L49" s="15"/>
      <c r="M49" s="15"/>
      <c r="N49" s="15"/>
      <c r="O49" s="15"/>
      <c r="P49" s="15"/>
      <c r="Q49" s="15"/>
      <c r="R49" s="5" t="s">
        <v>186</v>
      </c>
      <c r="S49" s="15"/>
      <c r="T49" s="5" t="s">
        <v>186</v>
      </c>
      <c r="U49" s="15"/>
      <c r="V49" s="15"/>
      <c r="W49" s="15"/>
      <c r="X49" s="15"/>
      <c r="Y49" s="15"/>
      <c r="Z49" s="15"/>
      <c r="AA49" s="15"/>
      <c r="AB49" s="15"/>
      <c r="AC49" s="15"/>
    </row>
    <row r="50" spans="1:29" ht="19.95" customHeight="1" x14ac:dyDescent="0.3">
      <c r="A50" s="3">
        <v>45</v>
      </c>
      <c r="B50" s="3" t="s">
        <v>140</v>
      </c>
      <c r="C50" s="4" t="s">
        <v>141</v>
      </c>
      <c r="D50" s="3">
        <v>3</v>
      </c>
      <c r="E50" s="3" t="s">
        <v>87</v>
      </c>
      <c r="F50" s="14"/>
      <c r="G50" s="14"/>
      <c r="H50" s="14"/>
      <c r="I50" s="5" t="s">
        <v>186</v>
      </c>
      <c r="J50" s="14"/>
      <c r="K50" s="14"/>
      <c r="L50" s="14"/>
      <c r="M50" s="14"/>
      <c r="N50" s="14"/>
      <c r="O50" s="14"/>
      <c r="P50" s="14"/>
      <c r="Q50" s="14"/>
      <c r="R50" s="14"/>
      <c r="S50" s="14"/>
      <c r="T50" s="14"/>
      <c r="U50" s="14"/>
      <c r="V50" s="14"/>
      <c r="W50" s="14"/>
      <c r="X50" s="5" t="s">
        <v>186</v>
      </c>
      <c r="Y50" s="14"/>
      <c r="Z50" s="14"/>
      <c r="AA50" s="14"/>
      <c r="AB50" s="14"/>
      <c r="AC50" s="14"/>
    </row>
    <row r="51" spans="1:29" ht="19.95" customHeight="1" x14ac:dyDescent="0.3">
      <c r="A51" s="7">
        <v>46</v>
      </c>
      <c r="B51" s="7" t="s">
        <v>142</v>
      </c>
      <c r="C51" s="8" t="s">
        <v>143</v>
      </c>
      <c r="D51" s="7">
        <v>6</v>
      </c>
      <c r="E51" s="7" t="s">
        <v>144</v>
      </c>
      <c r="F51" s="5" t="s">
        <v>186</v>
      </c>
      <c r="G51" s="15"/>
      <c r="H51" s="15"/>
      <c r="I51" s="5" t="s">
        <v>186</v>
      </c>
      <c r="J51" s="5" t="s">
        <v>186</v>
      </c>
      <c r="K51" s="15"/>
      <c r="L51" s="5" t="s">
        <v>186</v>
      </c>
      <c r="M51" s="15"/>
      <c r="N51" s="15"/>
      <c r="O51" s="15"/>
      <c r="P51" s="15"/>
      <c r="Q51" s="15"/>
      <c r="R51" s="15"/>
      <c r="S51" s="15"/>
      <c r="T51" s="15"/>
      <c r="U51" s="15"/>
      <c r="V51" s="15"/>
      <c r="W51" s="15"/>
      <c r="X51" s="5" t="s">
        <v>186</v>
      </c>
      <c r="Y51" s="15"/>
      <c r="Z51" s="15"/>
      <c r="AA51" s="15"/>
      <c r="AB51" s="15"/>
      <c r="AC51" s="15"/>
    </row>
    <row r="52" spans="1:29" ht="19.95" customHeight="1" x14ac:dyDescent="0.3">
      <c r="A52" s="3">
        <v>47</v>
      </c>
      <c r="B52" s="3" t="s">
        <v>145</v>
      </c>
      <c r="C52" s="4" t="s">
        <v>144</v>
      </c>
      <c r="D52" s="3">
        <v>8</v>
      </c>
      <c r="E52" s="3" t="s">
        <v>144</v>
      </c>
      <c r="F52" s="5" t="s">
        <v>186</v>
      </c>
      <c r="G52" s="14"/>
      <c r="H52" s="14"/>
      <c r="I52" s="14"/>
      <c r="J52" s="5" t="s">
        <v>186</v>
      </c>
      <c r="K52" s="14"/>
      <c r="L52" s="14"/>
      <c r="M52" s="14"/>
      <c r="N52" s="14"/>
      <c r="O52" s="14"/>
      <c r="P52" s="14"/>
      <c r="Q52" s="14"/>
      <c r="R52" s="14"/>
      <c r="S52" s="14"/>
      <c r="T52" s="14"/>
      <c r="U52" s="14"/>
      <c r="V52" s="14"/>
      <c r="W52" s="14"/>
      <c r="X52" s="5" t="s">
        <v>186</v>
      </c>
      <c r="Y52" s="14"/>
      <c r="Z52" s="14"/>
      <c r="AA52" s="14"/>
      <c r="AB52" s="14"/>
      <c r="AC52" s="14"/>
    </row>
    <row r="53" spans="1:29" ht="24" customHeight="1" x14ac:dyDescent="0.3">
      <c r="A53" s="28" t="s">
        <v>187</v>
      </c>
      <c r="B53" s="29"/>
      <c r="C53" s="29"/>
      <c r="D53" s="29"/>
      <c r="E53" s="30"/>
      <c r="F53" s="10">
        <f t="shared" ref="F53:AC53" si="0">COUNTIF(F6:F52, "X")</f>
        <v>8</v>
      </c>
      <c r="G53" s="10">
        <f t="shared" si="0"/>
        <v>2</v>
      </c>
      <c r="H53" s="10">
        <f t="shared" si="0"/>
        <v>10</v>
      </c>
      <c r="I53" s="10">
        <f t="shared" si="0"/>
        <v>6</v>
      </c>
      <c r="J53" s="10">
        <f t="shared" si="0"/>
        <v>11</v>
      </c>
      <c r="K53" s="10">
        <f t="shared" si="0"/>
        <v>0</v>
      </c>
      <c r="L53" s="10">
        <f t="shared" si="0"/>
        <v>21</v>
      </c>
      <c r="M53" s="10">
        <f t="shared" si="0"/>
        <v>0</v>
      </c>
      <c r="N53" s="10">
        <f t="shared" si="0"/>
        <v>0</v>
      </c>
      <c r="O53" s="10">
        <f t="shared" si="0"/>
        <v>15</v>
      </c>
      <c r="P53" s="10">
        <f t="shared" si="0"/>
        <v>0</v>
      </c>
      <c r="Q53" s="10">
        <f t="shared" si="0"/>
        <v>0</v>
      </c>
      <c r="R53" s="10">
        <f t="shared" si="0"/>
        <v>7</v>
      </c>
      <c r="S53" s="10">
        <f t="shared" si="0"/>
        <v>3</v>
      </c>
      <c r="T53" s="10">
        <f t="shared" si="0"/>
        <v>3</v>
      </c>
      <c r="U53" s="10">
        <f t="shared" si="0"/>
        <v>0</v>
      </c>
      <c r="V53" s="10">
        <f t="shared" si="0"/>
        <v>0</v>
      </c>
      <c r="W53" s="10">
        <f t="shared" si="0"/>
        <v>9</v>
      </c>
      <c r="X53" s="10">
        <f t="shared" si="0"/>
        <v>24</v>
      </c>
      <c r="Y53" s="10">
        <f t="shared" si="0"/>
        <v>0</v>
      </c>
      <c r="Z53" s="10">
        <f t="shared" si="0"/>
        <v>0</v>
      </c>
      <c r="AA53" s="10">
        <f t="shared" si="0"/>
        <v>5</v>
      </c>
      <c r="AB53" s="10">
        <f t="shared" si="0"/>
        <v>6</v>
      </c>
      <c r="AC53" s="10">
        <f t="shared" si="0"/>
        <v>1</v>
      </c>
    </row>
  </sheetData>
  <mergeCells count="10">
    <mergeCell ref="A53:E53"/>
    <mergeCell ref="A4:E4"/>
    <mergeCell ref="A1:AC1"/>
    <mergeCell ref="O4:R4"/>
    <mergeCell ref="S4:V4"/>
    <mergeCell ref="W4:Z4"/>
    <mergeCell ref="F4:H4"/>
    <mergeCell ref="AA4:AC4"/>
    <mergeCell ref="A2:AC2"/>
    <mergeCell ref="I4:N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workbookViewId="0">
      <selection sqref="A1:E1"/>
    </sheetView>
  </sheetViews>
  <sheetFormatPr defaultRowHeight="14.4" x14ac:dyDescent="0.3"/>
  <cols>
    <col min="1" max="1" width="10" customWidth="1"/>
    <col min="2" max="2" width="28" customWidth="1"/>
    <col min="3" max="3" width="10" customWidth="1"/>
    <col min="4" max="4" width="35" customWidth="1"/>
    <col min="5" max="5" width="65" customWidth="1"/>
  </cols>
  <sheetData>
    <row r="1" spans="1:5" ht="28.05" customHeight="1" x14ac:dyDescent="0.3">
      <c r="A1" s="33" t="s">
        <v>188</v>
      </c>
      <c r="B1" s="32"/>
      <c r="C1" s="32"/>
      <c r="D1" s="32"/>
      <c r="E1" s="32"/>
    </row>
    <row r="3" spans="1:5" ht="24" customHeight="1" x14ac:dyDescent="0.3">
      <c r="A3" s="37" t="s">
        <v>189</v>
      </c>
      <c r="B3" s="32"/>
      <c r="C3" s="32"/>
      <c r="D3" s="32"/>
      <c r="E3" s="32"/>
    </row>
    <row r="4" spans="1:5" ht="25.95" customHeight="1" x14ac:dyDescent="0.3">
      <c r="A4" s="1" t="s">
        <v>190</v>
      </c>
      <c r="B4" s="1" t="s">
        <v>191</v>
      </c>
      <c r="C4" s="1" t="s">
        <v>192</v>
      </c>
      <c r="D4" s="1" t="s">
        <v>193</v>
      </c>
      <c r="E4" s="1" t="s">
        <v>194</v>
      </c>
    </row>
    <row r="5" spans="1:5" ht="28.05" customHeight="1" x14ac:dyDescent="0.3">
      <c r="A5" s="3" t="s">
        <v>68</v>
      </c>
      <c r="B5" s="4" t="s">
        <v>195</v>
      </c>
      <c r="C5" s="3" t="s">
        <v>162</v>
      </c>
      <c r="D5" s="4" t="s">
        <v>196</v>
      </c>
      <c r="E5" s="4" t="s">
        <v>197</v>
      </c>
    </row>
    <row r="6" spans="1:5" ht="28.05" customHeight="1" x14ac:dyDescent="0.3">
      <c r="A6" s="3" t="s">
        <v>68</v>
      </c>
      <c r="B6" s="4" t="s">
        <v>195</v>
      </c>
      <c r="C6" s="3" t="s">
        <v>163</v>
      </c>
      <c r="D6" s="4" t="s">
        <v>198</v>
      </c>
      <c r="E6" s="4" t="s">
        <v>199</v>
      </c>
    </row>
    <row r="7" spans="1:5" ht="28.05" customHeight="1" x14ac:dyDescent="0.3">
      <c r="A7" s="3" t="s">
        <v>68</v>
      </c>
      <c r="B7" s="4" t="s">
        <v>195</v>
      </c>
      <c r="C7" s="3" t="s">
        <v>164</v>
      </c>
      <c r="D7" s="4" t="s">
        <v>200</v>
      </c>
      <c r="E7" s="4" t="s">
        <v>201</v>
      </c>
    </row>
    <row r="8" spans="1:5" ht="28.05" customHeight="1" x14ac:dyDescent="0.3">
      <c r="A8" s="3" t="s">
        <v>84</v>
      </c>
      <c r="B8" s="4" t="s">
        <v>202</v>
      </c>
      <c r="C8" s="3" t="s">
        <v>165</v>
      </c>
      <c r="D8" s="4" t="s">
        <v>203</v>
      </c>
      <c r="E8" s="4" t="s">
        <v>204</v>
      </c>
    </row>
    <row r="9" spans="1:5" ht="28.05" customHeight="1" x14ac:dyDescent="0.3">
      <c r="A9" s="3" t="s">
        <v>84</v>
      </c>
      <c r="B9" s="4" t="s">
        <v>202</v>
      </c>
      <c r="C9" s="3" t="s">
        <v>166</v>
      </c>
      <c r="D9" s="4" t="s">
        <v>205</v>
      </c>
      <c r="E9" s="4" t="s">
        <v>206</v>
      </c>
    </row>
    <row r="10" spans="1:5" ht="28.05" customHeight="1" x14ac:dyDescent="0.3">
      <c r="A10" s="3" t="s">
        <v>84</v>
      </c>
      <c r="B10" s="4" t="s">
        <v>202</v>
      </c>
      <c r="C10" s="3" t="s">
        <v>167</v>
      </c>
      <c r="D10" s="4" t="s">
        <v>207</v>
      </c>
      <c r="E10" s="4" t="s">
        <v>208</v>
      </c>
    </row>
    <row r="11" spans="1:5" ht="28.05" customHeight="1" x14ac:dyDescent="0.3">
      <c r="A11" s="3" t="s">
        <v>84</v>
      </c>
      <c r="B11" s="4" t="s">
        <v>202</v>
      </c>
      <c r="C11" s="3" t="s">
        <v>168</v>
      </c>
      <c r="D11" s="4" t="s">
        <v>209</v>
      </c>
      <c r="E11" s="4" t="s">
        <v>210</v>
      </c>
    </row>
    <row r="12" spans="1:5" ht="28.05" customHeight="1" x14ac:dyDescent="0.3">
      <c r="A12" s="3" t="s">
        <v>84</v>
      </c>
      <c r="B12" s="4" t="s">
        <v>202</v>
      </c>
      <c r="C12" s="3" t="s">
        <v>169</v>
      </c>
      <c r="D12" s="4" t="s">
        <v>211</v>
      </c>
      <c r="E12" s="4" t="s">
        <v>212</v>
      </c>
    </row>
    <row r="13" spans="1:5" ht="28.05" customHeight="1" x14ac:dyDescent="0.3">
      <c r="A13" s="3" t="s">
        <v>84</v>
      </c>
      <c r="B13" s="4" t="s">
        <v>202</v>
      </c>
      <c r="C13" s="3" t="s">
        <v>170</v>
      </c>
      <c r="D13" s="4" t="s">
        <v>213</v>
      </c>
      <c r="E13" s="4" t="s">
        <v>214</v>
      </c>
    </row>
    <row r="14" spans="1:5" ht="28.05" customHeight="1" x14ac:dyDescent="0.3">
      <c r="A14" s="3" t="s">
        <v>215</v>
      </c>
      <c r="B14" s="4" t="s">
        <v>216</v>
      </c>
      <c r="C14" s="3" t="s">
        <v>171</v>
      </c>
      <c r="D14" s="4" t="s">
        <v>217</v>
      </c>
      <c r="E14" s="4" t="s">
        <v>218</v>
      </c>
    </row>
    <row r="15" spans="1:5" ht="28.05" customHeight="1" x14ac:dyDescent="0.3">
      <c r="A15" s="3" t="s">
        <v>215</v>
      </c>
      <c r="B15" s="4" t="s">
        <v>216</v>
      </c>
      <c r="C15" s="3" t="s">
        <v>172</v>
      </c>
      <c r="D15" s="4" t="s">
        <v>219</v>
      </c>
      <c r="E15" s="4" t="s">
        <v>220</v>
      </c>
    </row>
    <row r="16" spans="1:5" ht="28.05" customHeight="1" x14ac:dyDescent="0.3">
      <c r="A16" s="3" t="s">
        <v>215</v>
      </c>
      <c r="B16" s="4" t="s">
        <v>216</v>
      </c>
      <c r="C16" s="3" t="s">
        <v>173</v>
      </c>
      <c r="D16" s="4" t="s">
        <v>221</v>
      </c>
      <c r="E16" s="4" t="s">
        <v>222</v>
      </c>
    </row>
    <row r="17" spans="1:5" ht="28.05" customHeight="1" x14ac:dyDescent="0.3">
      <c r="A17" s="3" t="s">
        <v>215</v>
      </c>
      <c r="B17" s="4" t="s">
        <v>216</v>
      </c>
      <c r="C17" s="3" t="s">
        <v>174</v>
      </c>
      <c r="D17" s="4" t="s">
        <v>223</v>
      </c>
      <c r="E17" s="4" t="s">
        <v>224</v>
      </c>
    </row>
    <row r="18" spans="1:5" ht="28.05" customHeight="1" x14ac:dyDescent="0.3">
      <c r="A18" s="3" t="s">
        <v>225</v>
      </c>
      <c r="B18" s="4" t="s">
        <v>226</v>
      </c>
      <c r="C18" s="3" t="s">
        <v>175</v>
      </c>
      <c r="D18" s="4" t="s">
        <v>227</v>
      </c>
      <c r="E18" s="4" t="s">
        <v>228</v>
      </c>
    </row>
    <row r="19" spans="1:5" ht="28.05" customHeight="1" x14ac:dyDescent="0.3">
      <c r="A19" s="3" t="s">
        <v>225</v>
      </c>
      <c r="B19" s="4" t="s">
        <v>226</v>
      </c>
      <c r="C19" s="3" t="s">
        <v>176</v>
      </c>
      <c r="D19" s="4" t="s">
        <v>229</v>
      </c>
      <c r="E19" s="4" t="s">
        <v>230</v>
      </c>
    </row>
    <row r="20" spans="1:5" ht="28.05" customHeight="1" x14ac:dyDescent="0.3">
      <c r="A20" s="3" t="s">
        <v>225</v>
      </c>
      <c r="B20" s="4" t="s">
        <v>226</v>
      </c>
      <c r="C20" s="3" t="s">
        <v>177</v>
      </c>
      <c r="D20" s="4" t="s">
        <v>231</v>
      </c>
      <c r="E20" s="4" t="s">
        <v>232</v>
      </c>
    </row>
    <row r="21" spans="1:5" ht="28.05" customHeight="1" x14ac:dyDescent="0.3">
      <c r="A21" s="3" t="s">
        <v>225</v>
      </c>
      <c r="B21" s="4" t="s">
        <v>226</v>
      </c>
      <c r="C21" s="3" t="s">
        <v>178</v>
      </c>
      <c r="D21" s="4" t="s">
        <v>233</v>
      </c>
      <c r="E21" s="4" t="s">
        <v>234</v>
      </c>
    </row>
    <row r="22" spans="1:5" ht="28.05" customHeight="1" x14ac:dyDescent="0.3">
      <c r="A22" s="3" t="s">
        <v>43</v>
      </c>
      <c r="B22" s="4" t="s">
        <v>235</v>
      </c>
      <c r="C22" s="3" t="s">
        <v>179</v>
      </c>
      <c r="D22" s="4" t="s">
        <v>236</v>
      </c>
      <c r="E22" s="4" t="s">
        <v>237</v>
      </c>
    </row>
    <row r="23" spans="1:5" ht="28.05" customHeight="1" x14ac:dyDescent="0.3">
      <c r="A23" s="3" t="s">
        <v>43</v>
      </c>
      <c r="B23" s="4" t="s">
        <v>235</v>
      </c>
      <c r="C23" s="3" t="s">
        <v>180</v>
      </c>
      <c r="D23" s="4" t="s">
        <v>238</v>
      </c>
      <c r="E23" s="4" t="s">
        <v>239</v>
      </c>
    </row>
    <row r="24" spans="1:5" ht="28.05" customHeight="1" x14ac:dyDescent="0.3">
      <c r="A24" s="3" t="s">
        <v>43</v>
      </c>
      <c r="B24" s="4" t="s">
        <v>235</v>
      </c>
      <c r="C24" s="3" t="s">
        <v>181</v>
      </c>
      <c r="D24" s="4" t="s">
        <v>240</v>
      </c>
      <c r="E24" s="4" t="s">
        <v>241</v>
      </c>
    </row>
    <row r="25" spans="1:5" ht="28.05" customHeight="1" x14ac:dyDescent="0.3">
      <c r="A25" s="3" t="s">
        <v>43</v>
      </c>
      <c r="B25" s="4" t="s">
        <v>235</v>
      </c>
      <c r="C25" s="3" t="s">
        <v>182</v>
      </c>
      <c r="D25" s="4" t="s">
        <v>242</v>
      </c>
      <c r="E25" s="4" t="s">
        <v>243</v>
      </c>
    </row>
    <row r="26" spans="1:5" ht="28.05" customHeight="1" x14ac:dyDescent="0.3">
      <c r="A26" s="3" t="s">
        <v>97</v>
      </c>
      <c r="B26" s="4" t="s">
        <v>244</v>
      </c>
      <c r="C26" s="3" t="s">
        <v>183</v>
      </c>
      <c r="D26" s="4" t="s">
        <v>245</v>
      </c>
      <c r="E26" s="4" t="s">
        <v>246</v>
      </c>
    </row>
    <row r="27" spans="1:5" ht="28.05" customHeight="1" x14ac:dyDescent="0.3">
      <c r="A27" s="3" t="s">
        <v>97</v>
      </c>
      <c r="B27" s="4" t="s">
        <v>244</v>
      </c>
      <c r="C27" s="3" t="s">
        <v>184</v>
      </c>
      <c r="D27" s="4" t="s">
        <v>247</v>
      </c>
      <c r="E27" s="4" t="s">
        <v>248</v>
      </c>
    </row>
    <row r="28" spans="1:5" ht="28.05" customHeight="1" x14ac:dyDescent="0.3">
      <c r="A28" s="3" t="s">
        <v>97</v>
      </c>
      <c r="B28" s="4" t="s">
        <v>244</v>
      </c>
      <c r="C28" s="3" t="s">
        <v>185</v>
      </c>
      <c r="D28" s="4" t="s">
        <v>249</v>
      </c>
      <c r="E28" s="4" t="s">
        <v>250</v>
      </c>
    </row>
    <row r="31" spans="1:5" ht="24" customHeight="1" x14ac:dyDescent="0.3">
      <c r="A31" s="37" t="s">
        <v>251</v>
      </c>
      <c r="B31" s="32"/>
      <c r="C31" s="32"/>
      <c r="D31" s="32"/>
      <c r="E31" s="32"/>
    </row>
    <row r="32" spans="1:5" ht="25.95" customHeight="1" x14ac:dyDescent="0.3">
      <c r="A32" s="2" t="s">
        <v>252</v>
      </c>
      <c r="B32" s="2" t="s">
        <v>253</v>
      </c>
      <c r="C32" s="2" t="s">
        <v>254</v>
      </c>
      <c r="D32" s="2" t="s">
        <v>255</v>
      </c>
    </row>
    <row r="33" spans="1:4" ht="25.95" customHeight="1" x14ac:dyDescent="0.3">
      <c r="A33" s="3" t="s">
        <v>256</v>
      </c>
      <c r="B33" s="3" t="s">
        <v>257</v>
      </c>
      <c r="C33" s="4" t="s">
        <v>258</v>
      </c>
      <c r="D33" s="4" t="s">
        <v>259</v>
      </c>
    </row>
    <row r="34" spans="1:4" ht="25.95" customHeight="1" x14ac:dyDescent="0.3">
      <c r="A34" s="3" t="s">
        <v>256</v>
      </c>
      <c r="B34" s="3" t="s">
        <v>260</v>
      </c>
      <c r="C34" s="4" t="s">
        <v>261</v>
      </c>
      <c r="D34" s="4" t="s">
        <v>262</v>
      </c>
    </row>
    <row r="35" spans="1:4" ht="25.95" customHeight="1" x14ac:dyDescent="0.3">
      <c r="A35" s="3" t="s">
        <v>263</v>
      </c>
      <c r="B35" s="3" t="s">
        <v>22</v>
      </c>
      <c r="C35" s="4" t="s">
        <v>264</v>
      </c>
      <c r="D35" s="4" t="s">
        <v>265</v>
      </c>
    </row>
    <row r="36" spans="1:4" ht="25.95" customHeight="1" x14ac:dyDescent="0.3">
      <c r="A36" s="3" t="s">
        <v>263</v>
      </c>
      <c r="B36" s="3" t="s">
        <v>29</v>
      </c>
      <c r="C36" s="4" t="s">
        <v>266</v>
      </c>
      <c r="D36" s="4" t="s">
        <v>267</v>
      </c>
    </row>
    <row r="37" spans="1:4" ht="25.95" customHeight="1" x14ac:dyDescent="0.3">
      <c r="A37" s="3" t="s">
        <v>268</v>
      </c>
      <c r="B37" s="3" t="s">
        <v>89</v>
      </c>
      <c r="C37" s="4" t="s">
        <v>269</v>
      </c>
      <c r="D37" s="4" t="s">
        <v>270</v>
      </c>
    </row>
    <row r="38" spans="1:4" ht="25.95" customHeight="1" x14ac:dyDescent="0.3">
      <c r="A38" s="3" t="s">
        <v>268</v>
      </c>
      <c r="B38" s="3" t="s">
        <v>271</v>
      </c>
      <c r="C38" s="4" t="s">
        <v>272</v>
      </c>
      <c r="D38" s="4" t="s">
        <v>273</v>
      </c>
    </row>
  </sheetData>
  <mergeCells count="3">
    <mergeCell ref="A1:E1"/>
    <mergeCell ref="A31:E31"/>
    <mergeCell ref="A3:E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7"/>
  <sheetViews>
    <sheetView tabSelected="1" topLeftCell="A35" zoomScale="117" zoomScaleNormal="117" workbookViewId="0">
      <selection activeCell="A36" sqref="A36:C36"/>
    </sheetView>
  </sheetViews>
  <sheetFormatPr defaultRowHeight="14.4" x14ac:dyDescent="0.3"/>
  <cols>
    <col min="1" max="1" width="6" customWidth="1"/>
    <col min="2" max="2" width="10" customWidth="1"/>
    <col min="3" max="3" width="26" customWidth="1"/>
    <col min="4" max="4" width="14" customWidth="1"/>
    <col min="5" max="5" width="18" customWidth="1"/>
    <col min="6" max="6" width="9" customWidth="1"/>
    <col min="7" max="7" width="38" customWidth="1"/>
    <col min="8" max="8" width="32" customWidth="1"/>
    <col min="9" max="9" width="38" customWidth="1"/>
    <col min="10" max="10" width="13" customWidth="1"/>
  </cols>
  <sheetData>
    <row r="1" spans="1:10" ht="28.05" customHeight="1" x14ac:dyDescent="0.3">
      <c r="A1" s="33" t="s">
        <v>274</v>
      </c>
      <c r="B1" s="32"/>
      <c r="C1" s="32"/>
      <c r="D1" s="32"/>
      <c r="E1" s="32"/>
      <c r="F1" s="32"/>
      <c r="G1" s="32"/>
      <c r="H1" s="32"/>
      <c r="I1" s="32"/>
      <c r="J1" s="32"/>
    </row>
    <row r="2" spans="1:10" ht="19.95" customHeight="1" x14ac:dyDescent="0.3">
      <c r="A2" s="31" t="s">
        <v>275</v>
      </c>
      <c r="B2" s="32"/>
      <c r="C2" s="32"/>
      <c r="D2" s="32"/>
      <c r="E2" s="32"/>
      <c r="F2" s="32"/>
      <c r="G2" s="32"/>
      <c r="H2" s="32"/>
      <c r="I2" s="32"/>
      <c r="J2" s="32"/>
    </row>
    <row r="4" spans="1:10" ht="36" customHeight="1" x14ac:dyDescent="0.3">
      <c r="A4" s="1" t="s">
        <v>2</v>
      </c>
      <c r="B4" s="1" t="s">
        <v>276</v>
      </c>
      <c r="C4" s="1" t="s">
        <v>4</v>
      </c>
      <c r="D4" s="1" t="s">
        <v>6</v>
      </c>
      <c r="E4" s="2" t="s">
        <v>277</v>
      </c>
      <c r="F4" s="2" t="s">
        <v>192</v>
      </c>
      <c r="G4" s="2" t="s">
        <v>278</v>
      </c>
      <c r="H4" s="2" t="s">
        <v>279</v>
      </c>
      <c r="I4" s="2" t="s">
        <v>280</v>
      </c>
      <c r="J4" s="1" t="s">
        <v>281</v>
      </c>
    </row>
    <row r="5" spans="1:10" ht="75.599999999999994" x14ac:dyDescent="0.3">
      <c r="A5" s="16">
        <v>1</v>
      </c>
      <c r="B5" s="16" t="s">
        <v>15</v>
      </c>
      <c r="C5" s="17" t="s">
        <v>16</v>
      </c>
      <c r="D5" s="16" t="s">
        <v>17</v>
      </c>
      <c r="E5" s="18" t="s">
        <v>282</v>
      </c>
      <c r="F5" s="19" t="s">
        <v>283</v>
      </c>
      <c r="G5" s="17" t="s">
        <v>284</v>
      </c>
      <c r="H5" s="17" t="s">
        <v>285</v>
      </c>
      <c r="I5" s="17" t="s">
        <v>286</v>
      </c>
      <c r="J5" s="19" t="s">
        <v>260</v>
      </c>
    </row>
    <row r="6" spans="1:10" ht="50.4" x14ac:dyDescent="0.3">
      <c r="A6" s="20">
        <v>2</v>
      </c>
      <c r="B6" s="20" t="s">
        <v>36</v>
      </c>
      <c r="C6" s="21" t="s">
        <v>37</v>
      </c>
      <c r="D6" s="20" t="s">
        <v>25</v>
      </c>
      <c r="E6" s="22" t="s">
        <v>287</v>
      </c>
      <c r="F6" s="19" t="s">
        <v>288</v>
      </c>
      <c r="G6" s="21" t="s">
        <v>289</v>
      </c>
      <c r="H6" s="21" t="s">
        <v>290</v>
      </c>
      <c r="I6" s="21" t="s">
        <v>291</v>
      </c>
      <c r="J6" s="19" t="s">
        <v>292</v>
      </c>
    </row>
    <row r="7" spans="1:10" ht="75.599999999999994" x14ac:dyDescent="0.3">
      <c r="A7" s="16">
        <v>3</v>
      </c>
      <c r="B7" s="16" t="s">
        <v>23</v>
      </c>
      <c r="C7" s="17" t="s">
        <v>24</v>
      </c>
      <c r="D7" s="16" t="s">
        <v>25</v>
      </c>
      <c r="E7" s="18" t="s">
        <v>282</v>
      </c>
      <c r="F7" s="19" t="s">
        <v>293</v>
      </c>
      <c r="G7" s="17" t="s">
        <v>294</v>
      </c>
      <c r="H7" s="17" t="s">
        <v>295</v>
      </c>
      <c r="I7" s="17" t="s">
        <v>296</v>
      </c>
      <c r="J7" s="19" t="s">
        <v>22</v>
      </c>
    </row>
    <row r="8" spans="1:10" ht="63" x14ac:dyDescent="0.3">
      <c r="A8" s="20">
        <v>4</v>
      </c>
      <c r="B8" s="20" t="s">
        <v>30</v>
      </c>
      <c r="C8" s="21" t="s">
        <v>31</v>
      </c>
      <c r="D8" s="20" t="s">
        <v>25</v>
      </c>
      <c r="E8" s="18" t="s">
        <v>297</v>
      </c>
      <c r="F8" s="19" t="s">
        <v>298</v>
      </c>
      <c r="G8" s="21" t="s">
        <v>299</v>
      </c>
      <c r="H8" s="21" t="s">
        <v>300</v>
      </c>
      <c r="I8" s="21" t="s">
        <v>301</v>
      </c>
      <c r="J8" s="19" t="s">
        <v>22</v>
      </c>
    </row>
    <row r="9" spans="1:10" ht="75.599999999999994" x14ac:dyDescent="0.3">
      <c r="A9" s="16">
        <v>5</v>
      </c>
      <c r="B9" s="16" t="s">
        <v>33</v>
      </c>
      <c r="C9" s="17" t="s">
        <v>34</v>
      </c>
      <c r="D9" s="16" t="s">
        <v>25</v>
      </c>
      <c r="E9" s="23" t="s">
        <v>302</v>
      </c>
      <c r="F9" s="19" t="s">
        <v>303</v>
      </c>
      <c r="G9" s="17" t="s">
        <v>304</v>
      </c>
      <c r="H9" s="17" t="s">
        <v>305</v>
      </c>
      <c r="I9" s="17" t="s">
        <v>306</v>
      </c>
      <c r="J9" s="19" t="s">
        <v>307</v>
      </c>
    </row>
    <row r="10" spans="1:10" ht="75.599999999999994" x14ac:dyDescent="0.3">
      <c r="A10" s="20">
        <v>6</v>
      </c>
      <c r="B10" s="20" t="s">
        <v>44</v>
      </c>
      <c r="C10" s="21" t="s">
        <v>45</v>
      </c>
      <c r="D10" s="20" t="s">
        <v>25</v>
      </c>
      <c r="E10" s="18" t="s">
        <v>308</v>
      </c>
      <c r="F10" s="19" t="s">
        <v>309</v>
      </c>
      <c r="G10" s="21" t="s">
        <v>310</v>
      </c>
      <c r="H10" s="21" t="s">
        <v>311</v>
      </c>
      <c r="I10" s="21" t="s">
        <v>312</v>
      </c>
      <c r="J10" s="19" t="s">
        <v>22</v>
      </c>
    </row>
    <row r="11" spans="1:10" ht="75.599999999999994" x14ac:dyDescent="0.3">
      <c r="A11" s="16">
        <v>7</v>
      </c>
      <c r="B11" s="16" t="s">
        <v>50</v>
      </c>
      <c r="C11" s="17" t="s">
        <v>51</v>
      </c>
      <c r="D11" s="16" t="s">
        <v>25</v>
      </c>
      <c r="E11" s="18" t="s">
        <v>313</v>
      </c>
      <c r="F11" s="19" t="s">
        <v>314</v>
      </c>
      <c r="G11" s="17" t="s">
        <v>315</v>
      </c>
      <c r="H11" s="17" t="s">
        <v>316</v>
      </c>
      <c r="I11" s="17" t="s">
        <v>317</v>
      </c>
      <c r="J11" s="19" t="s">
        <v>307</v>
      </c>
    </row>
    <row r="12" spans="1:10" ht="75.599999999999994" x14ac:dyDescent="0.3">
      <c r="A12" s="20">
        <v>8</v>
      </c>
      <c r="B12" s="20" t="s">
        <v>47</v>
      </c>
      <c r="C12" s="21" t="s">
        <v>48</v>
      </c>
      <c r="D12" s="20" t="s">
        <v>25</v>
      </c>
      <c r="E12" s="18" t="s">
        <v>318</v>
      </c>
      <c r="F12" s="19" t="s">
        <v>319</v>
      </c>
      <c r="G12" s="21" t="s">
        <v>320</v>
      </c>
      <c r="H12" s="21" t="s">
        <v>321</v>
      </c>
      <c r="I12" s="21" t="s">
        <v>322</v>
      </c>
      <c r="J12" s="19" t="s">
        <v>29</v>
      </c>
    </row>
    <row r="13" spans="1:10" ht="75.599999999999994" x14ac:dyDescent="0.3">
      <c r="A13" s="16">
        <v>9</v>
      </c>
      <c r="B13" s="16" t="s">
        <v>53</v>
      </c>
      <c r="C13" s="17" t="s">
        <v>54</v>
      </c>
      <c r="D13" s="16" t="s">
        <v>25</v>
      </c>
      <c r="E13" s="18" t="s">
        <v>323</v>
      </c>
      <c r="F13" s="19" t="s">
        <v>324</v>
      </c>
      <c r="G13" s="17" t="s">
        <v>325</v>
      </c>
      <c r="H13" s="17" t="s">
        <v>326</v>
      </c>
      <c r="I13" s="17" t="s">
        <v>327</v>
      </c>
      <c r="J13" s="19" t="s">
        <v>307</v>
      </c>
    </row>
    <row r="14" spans="1:10" ht="75.599999999999994" x14ac:dyDescent="0.3">
      <c r="A14" s="20">
        <v>10</v>
      </c>
      <c r="B14" s="20" t="s">
        <v>55</v>
      </c>
      <c r="C14" s="21" t="s">
        <v>56</v>
      </c>
      <c r="D14" s="20" t="s">
        <v>25</v>
      </c>
      <c r="E14" s="18" t="s">
        <v>328</v>
      </c>
      <c r="F14" s="19" t="s">
        <v>329</v>
      </c>
      <c r="G14" s="21" t="s">
        <v>330</v>
      </c>
      <c r="H14" s="21" t="s">
        <v>331</v>
      </c>
      <c r="I14" s="21" t="s">
        <v>332</v>
      </c>
      <c r="J14" s="19" t="s">
        <v>307</v>
      </c>
    </row>
    <row r="15" spans="1:10" ht="75.599999999999994" x14ac:dyDescent="0.3">
      <c r="A15" s="16">
        <v>11</v>
      </c>
      <c r="B15" s="16" t="s">
        <v>65</v>
      </c>
      <c r="C15" s="17" t="s">
        <v>66</v>
      </c>
      <c r="D15" s="16" t="s">
        <v>25</v>
      </c>
      <c r="E15" s="18" t="s">
        <v>333</v>
      </c>
      <c r="F15" s="19" t="s">
        <v>334</v>
      </c>
      <c r="G15" s="17" t="s">
        <v>335</v>
      </c>
      <c r="H15" s="17" t="s">
        <v>336</v>
      </c>
      <c r="I15" s="17" t="s">
        <v>337</v>
      </c>
      <c r="J15" s="19" t="s">
        <v>29</v>
      </c>
    </row>
    <row r="16" spans="1:10" ht="75.599999999999994" x14ac:dyDescent="0.3">
      <c r="A16" s="20">
        <v>12</v>
      </c>
      <c r="B16" s="20" t="s">
        <v>60</v>
      </c>
      <c r="C16" s="21" t="s">
        <v>61</v>
      </c>
      <c r="D16" s="20" t="s">
        <v>25</v>
      </c>
      <c r="E16" s="22" t="s">
        <v>338</v>
      </c>
      <c r="F16" s="19" t="s">
        <v>339</v>
      </c>
      <c r="G16" s="21" t="s">
        <v>340</v>
      </c>
      <c r="H16" s="21" t="s">
        <v>341</v>
      </c>
      <c r="I16" s="21" t="s">
        <v>342</v>
      </c>
      <c r="J16" s="19" t="s">
        <v>29</v>
      </c>
    </row>
    <row r="17" spans="1:10" ht="75.599999999999994" x14ac:dyDescent="0.3">
      <c r="A17" s="16">
        <v>13</v>
      </c>
      <c r="B17" s="16" t="s">
        <v>39</v>
      </c>
      <c r="C17" s="17" t="s">
        <v>40</v>
      </c>
      <c r="D17" s="16" t="s">
        <v>25</v>
      </c>
      <c r="E17" s="24" t="s">
        <v>343</v>
      </c>
      <c r="F17" s="19" t="s">
        <v>344</v>
      </c>
      <c r="G17" s="17" t="s">
        <v>345</v>
      </c>
      <c r="H17" s="17" t="s">
        <v>346</v>
      </c>
      <c r="I17" s="17" t="s">
        <v>347</v>
      </c>
      <c r="J17" s="19" t="s">
        <v>307</v>
      </c>
    </row>
    <row r="18" spans="1:10" ht="75.599999999999994" x14ac:dyDescent="0.3">
      <c r="A18" s="20">
        <v>14</v>
      </c>
      <c r="B18" s="20" t="s">
        <v>78</v>
      </c>
      <c r="C18" s="21" t="s">
        <v>79</v>
      </c>
      <c r="D18" s="20" t="s">
        <v>25</v>
      </c>
      <c r="E18" s="18" t="s">
        <v>348</v>
      </c>
      <c r="F18" s="19" t="s">
        <v>334</v>
      </c>
      <c r="G18" s="21" t="s">
        <v>349</v>
      </c>
      <c r="H18" s="21" t="s">
        <v>350</v>
      </c>
      <c r="I18" s="21" t="s">
        <v>351</v>
      </c>
      <c r="J18" s="19" t="s">
        <v>29</v>
      </c>
    </row>
    <row r="19" spans="1:10" ht="75.599999999999994" x14ac:dyDescent="0.3">
      <c r="A19" s="16">
        <v>15</v>
      </c>
      <c r="B19" s="16" t="s">
        <v>80</v>
      </c>
      <c r="C19" s="17" t="s">
        <v>81</v>
      </c>
      <c r="D19" s="16" t="s">
        <v>25</v>
      </c>
      <c r="E19" s="18" t="s">
        <v>352</v>
      </c>
      <c r="F19" s="19" t="s">
        <v>283</v>
      </c>
      <c r="G19" s="17" t="s">
        <v>353</v>
      </c>
      <c r="H19" s="17" t="s">
        <v>354</v>
      </c>
      <c r="I19" s="17" t="s">
        <v>355</v>
      </c>
      <c r="J19" s="19" t="s">
        <v>29</v>
      </c>
    </row>
    <row r="20" spans="1:10" ht="75.599999999999994" x14ac:dyDescent="0.3">
      <c r="A20" s="20">
        <v>16</v>
      </c>
      <c r="B20" s="20" t="s">
        <v>75</v>
      </c>
      <c r="C20" s="21" t="s">
        <v>76</v>
      </c>
      <c r="D20" s="20" t="s">
        <v>25</v>
      </c>
      <c r="E20" s="22" t="s">
        <v>356</v>
      </c>
      <c r="F20" s="19" t="s">
        <v>357</v>
      </c>
      <c r="G20" s="21" t="s">
        <v>358</v>
      </c>
      <c r="H20" s="21" t="s">
        <v>359</v>
      </c>
      <c r="I20" s="21" t="s">
        <v>360</v>
      </c>
      <c r="J20" s="19" t="s">
        <v>29</v>
      </c>
    </row>
    <row r="21" spans="1:10" ht="75.599999999999994" x14ac:dyDescent="0.3">
      <c r="A21" s="16">
        <v>17</v>
      </c>
      <c r="B21" s="16" t="s">
        <v>69</v>
      </c>
      <c r="C21" s="17" t="s">
        <v>70</v>
      </c>
      <c r="D21" s="16" t="s">
        <v>25</v>
      </c>
      <c r="E21" s="18" t="s">
        <v>361</v>
      </c>
      <c r="F21" s="19" t="s">
        <v>362</v>
      </c>
      <c r="G21" s="17" t="s">
        <v>363</v>
      </c>
      <c r="H21" s="17" t="s">
        <v>364</v>
      </c>
      <c r="I21" s="17" t="s">
        <v>365</v>
      </c>
      <c r="J21" s="19" t="s">
        <v>366</v>
      </c>
    </row>
    <row r="22" spans="1:10" ht="88.2" x14ac:dyDescent="0.3">
      <c r="A22" s="20">
        <v>18</v>
      </c>
      <c r="B22" s="20" t="s">
        <v>90</v>
      </c>
      <c r="C22" s="21" t="s">
        <v>91</v>
      </c>
      <c r="D22" s="20" t="s">
        <v>25</v>
      </c>
      <c r="E22" s="18" t="s">
        <v>367</v>
      </c>
      <c r="F22" s="19" t="s">
        <v>368</v>
      </c>
      <c r="G22" s="21" t="s">
        <v>369</v>
      </c>
      <c r="H22" s="21" t="s">
        <v>370</v>
      </c>
      <c r="I22" s="21" t="s">
        <v>371</v>
      </c>
      <c r="J22" s="19" t="s">
        <v>366</v>
      </c>
    </row>
    <row r="23" spans="1:10" ht="75.599999999999994" x14ac:dyDescent="0.3">
      <c r="A23" s="16">
        <v>19</v>
      </c>
      <c r="B23" s="16" t="s">
        <v>103</v>
      </c>
      <c r="C23" s="17" t="s">
        <v>104</v>
      </c>
      <c r="D23" s="16" t="s">
        <v>87</v>
      </c>
      <c r="E23" s="18" t="s">
        <v>372</v>
      </c>
      <c r="F23" s="19" t="s">
        <v>283</v>
      </c>
      <c r="G23" s="17" t="s">
        <v>373</v>
      </c>
      <c r="H23" s="17" t="s">
        <v>374</v>
      </c>
      <c r="I23" s="17" t="s">
        <v>375</v>
      </c>
      <c r="J23" s="19" t="s">
        <v>366</v>
      </c>
    </row>
    <row r="24" spans="1:10" ht="75.599999999999994" x14ac:dyDescent="0.3">
      <c r="A24" s="20">
        <v>20</v>
      </c>
      <c r="B24" s="20" t="s">
        <v>105</v>
      </c>
      <c r="C24" s="21" t="s">
        <v>106</v>
      </c>
      <c r="D24" s="20" t="s">
        <v>87</v>
      </c>
      <c r="E24" s="18" t="s">
        <v>376</v>
      </c>
      <c r="F24" s="19" t="s">
        <v>377</v>
      </c>
      <c r="G24" s="21" t="s">
        <v>378</v>
      </c>
      <c r="H24" s="21" t="s">
        <v>379</v>
      </c>
      <c r="I24" s="21" t="s">
        <v>380</v>
      </c>
      <c r="J24" s="19" t="s">
        <v>89</v>
      </c>
    </row>
    <row r="25" spans="1:10" ht="88.2" x14ac:dyDescent="0.3">
      <c r="A25" s="16">
        <v>21</v>
      </c>
      <c r="B25" s="16" t="s">
        <v>114</v>
      </c>
      <c r="C25" s="17" t="s">
        <v>381</v>
      </c>
      <c r="D25" s="16" t="s">
        <v>87</v>
      </c>
      <c r="E25" s="18" t="s">
        <v>382</v>
      </c>
      <c r="F25" s="19" t="s">
        <v>329</v>
      </c>
      <c r="G25" s="17" t="s">
        <v>383</v>
      </c>
      <c r="H25" s="17" t="s">
        <v>384</v>
      </c>
      <c r="I25" s="17" t="s">
        <v>385</v>
      </c>
      <c r="J25" s="19" t="s">
        <v>366</v>
      </c>
    </row>
    <row r="26" spans="1:10" ht="75.599999999999994" x14ac:dyDescent="0.3">
      <c r="A26" s="20">
        <v>22</v>
      </c>
      <c r="B26" s="20" t="s">
        <v>112</v>
      </c>
      <c r="C26" s="21" t="s">
        <v>113</v>
      </c>
      <c r="D26" s="20" t="s">
        <v>25</v>
      </c>
      <c r="E26" s="18" t="s">
        <v>386</v>
      </c>
      <c r="F26" s="19" t="s">
        <v>387</v>
      </c>
      <c r="G26" s="21" t="s">
        <v>388</v>
      </c>
      <c r="H26" s="21" t="s">
        <v>389</v>
      </c>
      <c r="I26" s="21" t="s">
        <v>390</v>
      </c>
      <c r="J26" s="19" t="s">
        <v>29</v>
      </c>
    </row>
    <row r="27" spans="1:10" ht="75.599999999999994" x14ac:dyDescent="0.3">
      <c r="A27" s="16">
        <v>23</v>
      </c>
      <c r="B27" s="16" t="s">
        <v>127</v>
      </c>
      <c r="C27" s="17" t="s">
        <v>128</v>
      </c>
      <c r="D27" s="16" t="s">
        <v>87</v>
      </c>
      <c r="E27" s="18" t="s">
        <v>391</v>
      </c>
      <c r="F27" s="19" t="s">
        <v>392</v>
      </c>
      <c r="G27" s="17" t="s">
        <v>393</v>
      </c>
      <c r="H27" s="17" t="s">
        <v>394</v>
      </c>
      <c r="I27" s="17" t="s">
        <v>395</v>
      </c>
      <c r="J27" s="19" t="s">
        <v>29</v>
      </c>
    </row>
    <row r="28" spans="1:10" ht="75.599999999999994" x14ac:dyDescent="0.3">
      <c r="A28" s="20">
        <v>24</v>
      </c>
      <c r="B28" s="20" t="s">
        <v>129</v>
      </c>
      <c r="C28" s="21" t="s">
        <v>130</v>
      </c>
      <c r="D28" s="20" t="s">
        <v>87</v>
      </c>
      <c r="E28" s="23" t="s">
        <v>396</v>
      </c>
      <c r="F28" s="19" t="s">
        <v>397</v>
      </c>
      <c r="G28" s="21" t="s">
        <v>398</v>
      </c>
      <c r="H28" s="21" t="s">
        <v>399</v>
      </c>
      <c r="I28" s="21" t="s">
        <v>400</v>
      </c>
      <c r="J28" s="19" t="s">
        <v>29</v>
      </c>
    </row>
    <row r="29" spans="1:10" ht="75.599999999999994" x14ac:dyDescent="0.3">
      <c r="A29" s="16">
        <v>25</v>
      </c>
      <c r="B29" s="16" t="s">
        <v>131</v>
      </c>
      <c r="C29" s="17" t="s">
        <v>132</v>
      </c>
      <c r="D29" s="16" t="s">
        <v>87</v>
      </c>
      <c r="E29" s="18" t="s">
        <v>401</v>
      </c>
      <c r="F29" s="19" t="s">
        <v>402</v>
      </c>
      <c r="G29" s="17" t="s">
        <v>403</v>
      </c>
      <c r="H29" s="17" t="s">
        <v>404</v>
      </c>
      <c r="I29" s="17" t="s">
        <v>405</v>
      </c>
      <c r="J29" s="19" t="s">
        <v>89</v>
      </c>
    </row>
    <row r="30" spans="1:10" ht="100.8" x14ac:dyDescent="0.3">
      <c r="A30" s="20">
        <v>26</v>
      </c>
      <c r="B30" s="20" t="s">
        <v>142</v>
      </c>
      <c r="C30" s="21" t="s">
        <v>143</v>
      </c>
      <c r="D30" s="20" t="s">
        <v>144</v>
      </c>
      <c r="E30" s="24" t="s">
        <v>406</v>
      </c>
      <c r="F30" s="19" t="s">
        <v>407</v>
      </c>
      <c r="G30" s="21" t="s">
        <v>408</v>
      </c>
      <c r="H30" s="21" t="s">
        <v>409</v>
      </c>
      <c r="I30" s="21" t="s">
        <v>410</v>
      </c>
      <c r="J30" s="19" t="s">
        <v>89</v>
      </c>
    </row>
    <row r="31" spans="1:10" ht="126" x14ac:dyDescent="0.3">
      <c r="A31" s="16">
        <v>27</v>
      </c>
      <c r="B31" s="16" t="s">
        <v>145</v>
      </c>
      <c r="C31" s="17" t="s">
        <v>144</v>
      </c>
      <c r="D31" s="16" t="s">
        <v>144</v>
      </c>
      <c r="E31" s="24" t="s">
        <v>411</v>
      </c>
      <c r="F31" s="19" t="s">
        <v>412</v>
      </c>
      <c r="G31" s="17" t="s">
        <v>413</v>
      </c>
      <c r="H31" s="17" t="s">
        <v>414</v>
      </c>
      <c r="I31" s="17" t="s">
        <v>415</v>
      </c>
      <c r="J31" s="19" t="s">
        <v>89</v>
      </c>
    </row>
    <row r="33" spans="1:10" x14ac:dyDescent="0.3">
      <c r="A33" s="41" t="s">
        <v>416</v>
      </c>
      <c r="B33" s="32"/>
      <c r="C33" s="32"/>
      <c r="D33" s="32"/>
      <c r="E33" s="32"/>
      <c r="F33" s="32"/>
      <c r="G33" s="32"/>
      <c r="H33" s="32"/>
      <c r="I33" s="32"/>
      <c r="J33" s="32"/>
    </row>
    <row r="34" spans="1:10" ht="51" customHeight="1" x14ac:dyDescent="0.3">
      <c r="A34" s="38" t="s">
        <v>417</v>
      </c>
      <c r="B34" s="39"/>
      <c r="C34" s="39"/>
      <c r="D34" s="40" t="s">
        <v>418</v>
      </c>
      <c r="E34" s="39"/>
      <c r="F34" s="39"/>
      <c r="G34" s="39"/>
      <c r="H34" s="39"/>
      <c r="I34" s="39"/>
      <c r="J34" s="39"/>
    </row>
    <row r="35" spans="1:10" ht="51" customHeight="1" x14ac:dyDescent="0.3">
      <c r="A35" s="38" t="s">
        <v>419</v>
      </c>
      <c r="B35" s="39"/>
      <c r="C35" s="39"/>
      <c r="D35" s="40" t="s">
        <v>420</v>
      </c>
      <c r="E35" s="39"/>
      <c r="F35" s="39"/>
      <c r="G35" s="39"/>
      <c r="H35" s="39"/>
      <c r="I35" s="39"/>
      <c r="J35" s="39"/>
    </row>
    <row r="36" spans="1:10" ht="51" customHeight="1" x14ac:dyDescent="0.3">
      <c r="A36" s="38" t="s">
        <v>421</v>
      </c>
      <c r="B36" s="39"/>
      <c r="C36" s="39"/>
      <c r="D36" s="40" t="s">
        <v>422</v>
      </c>
      <c r="E36" s="39"/>
      <c r="F36" s="39"/>
      <c r="G36" s="39"/>
      <c r="H36" s="39"/>
      <c r="I36" s="39"/>
      <c r="J36" s="39"/>
    </row>
    <row r="37" spans="1:10" ht="51" customHeight="1" x14ac:dyDescent="0.3">
      <c r="A37" s="38" t="s">
        <v>423</v>
      </c>
      <c r="B37" s="39"/>
      <c r="C37" s="39"/>
      <c r="D37" s="40" t="s">
        <v>424</v>
      </c>
      <c r="E37" s="39"/>
      <c r="F37" s="39"/>
      <c r="G37" s="39"/>
      <c r="H37" s="39"/>
      <c r="I37" s="39"/>
      <c r="J37" s="39"/>
    </row>
  </sheetData>
  <mergeCells count="11">
    <mergeCell ref="A1:J1"/>
    <mergeCell ref="A36:C36"/>
    <mergeCell ref="D36:J36"/>
    <mergeCell ref="A37:C37"/>
    <mergeCell ref="D37:J37"/>
    <mergeCell ref="A2:J2"/>
    <mergeCell ref="D35:J35"/>
    <mergeCell ref="D34:J34"/>
    <mergeCell ref="A34:C34"/>
    <mergeCell ref="A35:C35"/>
    <mergeCell ref="A33:J3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 Trận Môn Học - 6 Miền NLS</vt:lpstr>
      <vt:lpstr>Ma Trận Môn Học - 24 NLTP</vt:lpstr>
      <vt:lpstr>Tra Cứu Khung NLS (TT 02)</vt:lpstr>
      <vt:lpstr>Gợi Ý Bổ Sung &amp; Minh Chứng NLS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Minh Phuc</cp:lastModifiedBy>
  <dcterms:created xsi:type="dcterms:W3CDTF">2026-09-13T03:16:17Z</dcterms:created>
  <dcterms:modified xsi:type="dcterms:W3CDTF">2026-09-13T03:46:07Z</dcterms:modified>
</cp:coreProperties>
</file>