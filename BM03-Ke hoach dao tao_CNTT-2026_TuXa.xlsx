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pCTDT\"/>
    </mc:Choice>
  </mc:AlternateContent>
  <xr:revisionPtr revIDLastSave="0" documentId="13_ncr:1_{FBFDF12E-1971-4EE4-A2BD-2ADC1BA3B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TDT_TichHop_150T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1" l="1"/>
  <c r="I68" i="1" s="1"/>
  <c r="H67" i="1"/>
  <c r="H68" i="1" s="1"/>
  <c r="F67" i="1"/>
  <c r="F68" i="1" s="1"/>
  <c r="E67" i="1"/>
  <c r="D67" i="1"/>
  <c r="C67" i="1"/>
  <c r="C68" i="1" s="1"/>
  <c r="G66" i="1"/>
  <c r="J66" i="1" s="1"/>
  <c r="G65" i="1"/>
  <c r="I64" i="1"/>
  <c r="H64" i="1"/>
  <c r="F64" i="1"/>
  <c r="E64" i="1"/>
  <c r="D64" i="1"/>
  <c r="C64" i="1"/>
  <c r="G63" i="1"/>
  <c r="J63" i="1" s="1"/>
  <c r="G62" i="1"/>
  <c r="J62" i="1" s="1"/>
  <c r="G61" i="1"/>
  <c r="J61" i="1" s="1"/>
  <c r="G60" i="1"/>
  <c r="J60" i="1" s="1"/>
  <c r="G59" i="1"/>
  <c r="J59" i="1" s="1"/>
  <c r="G58" i="1"/>
  <c r="I57" i="1"/>
  <c r="H57" i="1"/>
  <c r="F57" i="1"/>
  <c r="E57" i="1"/>
  <c r="D57" i="1"/>
  <c r="C57" i="1"/>
  <c r="G56" i="1"/>
  <c r="J56" i="1" s="1"/>
  <c r="G55" i="1"/>
  <c r="J55" i="1" s="1"/>
  <c r="G54" i="1"/>
  <c r="J54" i="1" s="1"/>
  <c r="G53" i="1"/>
  <c r="J53" i="1" s="1"/>
  <c r="G52" i="1"/>
  <c r="J52" i="1" s="1"/>
  <c r="G51" i="1"/>
  <c r="I50" i="1"/>
  <c r="H50" i="1"/>
  <c r="G50" i="1"/>
  <c r="F50" i="1"/>
  <c r="E50" i="1"/>
  <c r="D50" i="1"/>
  <c r="C50" i="1"/>
  <c r="G49" i="1"/>
  <c r="J49" i="1" s="1"/>
  <c r="G48" i="1"/>
  <c r="J48" i="1" s="1"/>
  <c r="G47" i="1"/>
  <c r="J47" i="1" s="1"/>
  <c r="G46" i="1"/>
  <c r="J46" i="1" s="1"/>
  <c r="G45" i="1"/>
  <c r="J45" i="1" s="1"/>
  <c r="G44" i="1"/>
  <c r="J44" i="1" s="1"/>
  <c r="J50" i="1" s="1"/>
  <c r="I43" i="1"/>
  <c r="H43" i="1"/>
  <c r="G43" i="1"/>
  <c r="F43" i="1"/>
  <c r="E43" i="1"/>
  <c r="D43" i="1"/>
  <c r="C43" i="1"/>
  <c r="G42" i="1"/>
  <c r="J42" i="1" s="1"/>
  <c r="G41" i="1"/>
  <c r="J41" i="1" s="1"/>
  <c r="G40" i="1"/>
  <c r="J40" i="1" s="1"/>
  <c r="G39" i="1"/>
  <c r="J39" i="1" s="1"/>
  <c r="G38" i="1"/>
  <c r="J38" i="1" s="1"/>
  <c r="G37" i="1"/>
  <c r="J37" i="1" s="1"/>
  <c r="G36" i="1"/>
  <c r="J36" i="1" s="1"/>
  <c r="G35" i="1"/>
  <c r="J35" i="1" s="1"/>
  <c r="J43" i="1" s="1"/>
  <c r="I34" i="1"/>
  <c r="H34" i="1"/>
  <c r="F34" i="1"/>
  <c r="E34" i="1"/>
  <c r="D34" i="1"/>
  <c r="C34" i="1"/>
  <c r="G33" i="1"/>
  <c r="J33" i="1" s="1"/>
  <c r="G32" i="1"/>
  <c r="J32" i="1" s="1"/>
  <c r="G31" i="1"/>
  <c r="J31" i="1" s="1"/>
  <c r="G30" i="1"/>
  <c r="J30" i="1" s="1"/>
  <c r="G29" i="1"/>
  <c r="J29" i="1" s="1"/>
  <c r="G28" i="1"/>
  <c r="J28" i="1" s="1"/>
  <c r="G27" i="1"/>
  <c r="J27" i="1" s="1"/>
  <c r="G26" i="1"/>
  <c r="J26" i="1" s="1"/>
  <c r="G25" i="1"/>
  <c r="I24" i="1"/>
  <c r="H24" i="1"/>
  <c r="F24" i="1"/>
  <c r="E24" i="1"/>
  <c r="D24" i="1"/>
  <c r="C24" i="1"/>
  <c r="G23" i="1"/>
  <c r="J23" i="1" s="1"/>
  <c r="G22" i="1"/>
  <c r="J22" i="1" s="1"/>
  <c r="G21" i="1"/>
  <c r="J21" i="1" s="1"/>
  <c r="G20" i="1"/>
  <c r="J20" i="1" s="1"/>
  <c r="G19" i="1"/>
  <c r="J19" i="1" s="1"/>
  <c r="G18" i="1"/>
  <c r="J18" i="1" s="1"/>
  <c r="G17" i="1"/>
  <c r="I16" i="1"/>
  <c r="H16" i="1"/>
  <c r="F16" i="1"/>
  <c r="E16" i="1"/>
  <c r="D16" i="1"/>
  <c r="C16" i="1"/>
  <c r="G15" i="1"/>
  <c r="J15" i="1" s="1"/>
  <c r="G14" i="1"/>
  <c r="J14" i="1" s="1"/>
  <c r="G13" i="1"/>
  <c r="J13" i="1" s="1"/>
  <c r="G12" i="1"/>
  <c r="J12" i="1" s="1"/>
  <c r="G11" i="1"/>
  <c r="J11" i="1" s="1"/>
  <c r="G10" i="1"/>
  <c r="J10" i="1" s="1"/>
  <c r="G9" i="1"/>
  <c r="E68" i="1" l="1"/>
  <c r="D68" i="1"/>
  <c r="G67" i="1"/>
  <c r="J65" i="1"/>
  <c r="J67" i="1" s="1"/>
  <c r="G64" i="1"/>
  <c r="J58" i="1"/>
  <c r="J64" i="1" s="1"/>
  <c r="G57" i="1"/>
  <c r="J51" i="1"/>
  <c r="J57" i="1" s="1"/>
  <c r="G34" i="1"/>
  <c r="J25" i="1"/>
  <c r="J34" i="1" s="1"/>
  <c r="J17" i="1"/>
  <c r="J24" i="1" s="1"/>
  <c r="G24" i="1"/>
  <c r="J9" i="1"/>
  <c r="J16" i="1" s="1"/>
  <c r="G16" i="1"/>
  <c r="G68" i="1" s="1"/>
  <c r="J68" i="1" l="1"/>
</calcChain>
</file>

<file path=xl/sharedStrings.xml><?xml version="1.0" encoding="utf-8"?>
<sst xmlns="http://schemas.openxmlformats.org/spreadsheetml/2006/main" count="187" uniqueCount="143">
  <si>
    <t>`</t>
  </si>
  <si>
    <t>CỘNG HÒA XÃ HỘI CHỦ NGHĨA VIỆT NAM</t>
  </si>
  <si>
    <t>KHOA CÔNG NGHỆ THÔNG TIN</t>
  </si>
  <si>
    <t>Độc lập - Tự do - Hạnh phúc</t>
  </si>
  <si>
    <t>Đồng Nai, ngày 20 tháng 4 năm 2026</t>
  </si>
  <si>
    <t>CHƯƠNG TRÌNH ĐÀO TẠO ĐẠI HỌC TỪ XA THEO HỌC CHẾ TÍN CHỈ NIÊN KHÓA 2026 - 2030</t>
  </si>
  <si>
    <t>NGÀNH: CÔNG NGHỆ THÔNG TIN - CHƯƠNG TRÌNH TÍCH HỢP 3 ĐỊNH HƯỚNG (VIBE CODING - MẠNG CISCO - PHÂN TÍCH SỐ LIỆU)</t>
  </si>
  <si>
    <t>Mã MH</t>
  </si>
  <si>
    <t>Môn học</t>
  </si>
  <si>
    <t>Số tín chỉ</t>
  </si>
  <si>
    <t>Số tiết tổng</t>
  </si>
  <si>
    <t>Số tiết LT
(Live LMS)</t>
  </si>
  <si>
    <t>Số tiết TH
(Virtual Lab)</t>
  </si>
  <si>
    <t>Số tiết BT /
Tự học LMS</t>
  </si>
  <si>
    <t>Ghi chú định hướng</t>
  </si>
  <si>
    <t>Tổng TC</t>
  </si>
  <si>
    <t>Lý thuyết</t>
  </si>
  <si>
    <t>Thực hành</t>
  </si>
  <si>
    <t>Bài tập</t>
  </si>
  <si>
    <t>102113</t>
  </si>
  <si>
    <t>Toán cao cấp 1 {CNTT}</t>
  </si>
  <si>
    <t>Môn cơ bản</t>
  </si>
  <si>
    <t>102146</t>
  </si>
  <si>
    <t>Ngoại ngữ 1</t>
  </si>
  <si>
    <t>Môn cơ sở</t>
  </si>
  <si>
    <t>111154</t>
  </si>
  <si>
    <t>Nhập môn Ngành</t>
  </si>
  <si>
    <t>111155</t>
  </si>
  <si>
    <t>Nhập môn lập trình</t>
  </si>
  <si>
    <t>111156</t>
  </si>
  <si>
    <t>Lắp ráp và tối ưu hệ thống máy tính</t>
  </si>
  <si>
    <t>111157</t>
  </si>
  <si>
    <t>Phần mềm mã nguồn mở</t>
  </si>
  <si>
    <t>111158</t>
  </si>
  <si>
    <t>Vật lý thực hành</t>
  </si>
  <si>
    <t>TỔNG CỘNG HỌC KỲ 1</t>
  </si>
  <si>
    <t>102087</t>
  </si>
  <si>
    <t>Xác suất thống kê</t>
  </si>
  <si>
    <t>102147</t>
  </si>
  <si>
    <t>Ngoại ngữ 2</t>
  </si>
  <si>
    <t>102112</t>
  </si>
  <si>
    <t>Tin học đại cương</t>
  </si>
  <si>
    <t>111159</t>
  </si>
  <si>
    <t>Điện tử trong IoT</t>
  </si>
  <si>
    <t>111174</t>
  </si>
  <si>
    <t>Toán rời rạc và LTDT</t>
  </si>
  <si>
    <t>111161</t>
  </si>
  <si>
    <t>Kỹ thuật lập trình</t>
  </si>
  <si>
    <t>111162</t>
  </si>
  <si>
    <t>Thiết kế UI/UX</t>
  </si>
  <si>
    <t>TỔNG CỘNG HỌC KỲ 2</t>
  </si>
  <si>
    <t>102063</t>
  </si>
  <si>
    <t>Triết học Mác - Lênin</t>
  </si>
  <si>
    <t>102064</t>
  </si>
  <si>
    <t>Kinh tế chính trị Mác - Lênin</t>
  </si>
  <si>
    <t>102065</t>
  </si>
  <si>
    <t>Chủ nghĩa xã hội khoa học</t>
  </si>
  <si>
    <t>102148</t>
  </si>
  <si>
    <t>Ngoại ngữ 3</t>
  </si>
  <si>
    <t>111160</t>
  </si>
  <si>
    <t>Mạng máy tính (Cisco CCNA 1)</t>
  </si>
  <si>
    <t>111163</t>
  </si>
  <si>
    <t>Tín hiệu số cơ bản</t>
  </si>
  <si>
    <t>111164</t>
  </si>
  <si>
    <t>Thiết kế web</t>
  </si>
  <si>
    <t>111166</t>
  </si>
  <si>
    <t>Cơ sở dữ liệu</t>
  </si>
  <si>
    <t>111167</t>
  </si>
  <si>
    <t>Cấu trúc dữ liệu và giải thuật</t>
  </si>
  <si>
    <t>TỔNG CỘNG HỌC KỲ 3</t>
  </si>
  <si>
    <t>102033</t>
  </si>
  <si>
    <t>Tư tưởng Hồ Chí Minh</t>
  </si>
  <si>
    <t>102153</t>
  </si>
  <si>
    <t>Pháp luật đại cương</t>
  </si>
  <si>
    <t>102149</t>
  </si>
  <si>
    <t>Ngoại ngữ 4</t>
  </si>
  <si>
    <t>111165</t>
  </si>
  <si>
    <t>Mạng máy tính nâng cao</t>
  </si>
  <si>
    <t>111170</t>
  </si>
  <si>
    <t>Hệ quản trị CSDL</t>
  </si>
  <si>
    <t>111171</t>
  </si>
  <si>
    <t>Lập trình Front-End</t>
  </si>
  <si>
    <t>111172</t>
  </si>
  <si>
    <t>Lập trình hướng đối tượng</t>
  </si>
  <si>
    <t>111173</t>
  </si>
  <si>
    <t>Kiến tập từ xa &amp; Trải nghiệm thực tế</t>
  </si>
  <si>
    <t>TỔNG CỘNG HỌC KỲ 4</t>
  </si>
  <si>
    <t>102066</t>
  </si>
  <si>
    <t>Lịch sử Đảng Cộng sản Việt Nam</t>
  </si>
  <si>
    <t>102150</t>
  </si>
  <si>
    <t>Ngoại ngữ 5</t>
  </si>
  <si>
    <t>111168</t>
  </si>
  <si>
    <t>Quản lý dự án CNTT &amp; Nhập môn kỹ thuật</t>
  </si>
  <si>
    <t>111301</t>
  </si>
  <si>
    <t>Lập trình Back-End hiện đại với AI</t>
  </si>
  <si>
    <t>Chuyên ngành - Vibe Coding</t>
  </si>
  <si>
    <t>111401</t>
  </si>
  <si>
    <t>CCNA: Chuyển mạch, định tuyến và không dây (SRWE)</t>
  </si>
  <si>
    <t>Chuyên ngành - Mạng Cisco</t>
  </si>
  <si>
    <t>111501</t>
  </si>
  <si>
    <t>Kỹ thuật tiền xử lý và làm sạch dữ liệu với Python</t>
  </si>
  <si>
    <t>Chuyên ngành - Phân tích số liệu</t>
  </si>
  <si>
    <t>TỔNG CỘNG HỌC KỲ 5</t>
  </si>
  <si>
    <t>102151</t>
  </si>
  <si>
    <t>Ngoại ngữ 6</t>
  </si>
  <si>
    <t>111201</t>
  </si>
  <si>
    <t>An toàn và bảo mật thông tin</t>
  </si>
  <si>
    <t>111302</t>
  </si>
  <si>
    <t>Phát triển ứng dụng Web Front-End nâng cao &amp; AI UI</t>
  </si>
  <si>
    <t>111405</t>
  </si>
  <si>
    <t>CCNA: Kết nối và tối ưu hóa mạng doanh nghiệp (ENSA)</t>
  </si>
  <si>
    <t>111402</t>
  </si>
  <si>
    <t>Quản trị hệ thống Linux và Dịch vụ mạng nguồn mở</t>
  </si>
  <si>
    <t>111502</t>
  </si>
  <si>
    <t>Hệ cơ sở dữ liệu nâng cao và Kho dữ liệu</t>
  </si>
  <si>
    <t>TỔNG CỘNG HỌC KỲ 6</t>
  </si>
  <si>
    <t>199008</t>
  </si>
  <si>
    <t>Khởi nghiệp công nghệ và Đổi mới sáng tạo</t>
  </si>
  <si>
    <t>111303</t>
  </si>
  <si>
    <t>Công nghệ Vibe Coding &amp; Kỹ nghệ Prompt trong SE</t>
  </si>
  <si>
    <t>111305</t>
  </si>
  <si>
    <t>Phát triển ứng dụng Di động đa nền tảng với AI</t>
  </si>
  <si>
    <t>111406</t>
  </si>
  <si>
    <t>Vận hành an ninh mạng Cisco CyberOps &amp; DevNet</t>
  </si>
  <si>
    <t>111503</t>
  </si>
  <si>
    <t>Phân tích kinh doanh và Trực quan hóa với Power BI</t>
  </si>
  <si>
    <t>111505</t>
  </si>
  <si>
    <t>Khai phá dữ liệu &amp; Ứng dụng GenAI trong Phân tích</t>
  </si>
  <si>
    <t>TỔNG CỘNG HỌC KỲ 7</t>
  </si>
  <si>
    <t>111192</t>
  </si>
  <si>
    <t>Thực tập tốt nghiệp từ xa / Dự án doanh nghiệp</t>
  </si>
  <si>
    <t>Thực tập</t>
  </si>
  <si>
    <t>111193</t>
  </si>
  <si>
    <t>Khóa luận tốt nghiệp / Đồ án tốt nghiệp tích hợp</t>
  </si>
  <si>
    <t>Tốt nghiệp</t>
  </si>
  <si>
    <t>TỔNG CỘNG HỌC KỲ 8</t>
  </si>
  <si>
    <t>TỔNG CỘNG TOÀN KHÓA</t>
  </si>
  <si>
    <t>Nơi nhận:</t>
  </si>
  <si>
    <t>TRƯỞNG KHOA</t>
  </si>
  <si>
    <t>- Ban Giám hiệu (để báo cáo);</t>
  </si>
  <si>
    <t>- Trung tâm Đào tạo Từ xa &amp; E-learning;</t>
  </si>
  <si>
    <t>- Phòng Đào tạo;</t>
  </si>
  <si>
    <t>- Lưu: VT, K.CNTT.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</si>
</sst>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name val="Times New Roman"/>
    </font>
    <font>
      <b/>
      <sz val="13"/>
      <name val="Times New Roman"/>
    </font>
    <font>
      <b/>
      <i/>
      <sz val="12"/>
      <name val="Times New Roman"/>
    </font>
    <font>
      <i/>
      <sz val="11"/>
      <name val="Times New Roman"/>
    </font>
    <font>
      <b/>
      <sz val="14"/>
      <color rgb="FF1E3A8A"/>
      <name val="Times New Roman"/>
    </font>
    <font>
      <b/>
      <sz val="12"/>
      <name val="Times New Roman"/>
    </font>
    <font>
      <b/>
      <sz val="11"/>
      <name val="Times New Roman"/>
    </font>
    <font>
      <b/>
      <sz val="12"/>
      <color rgb="FF1E3A8A"/>
      <name val="Times New Roman"/>
    </font>
    <font>
      <b/>
      <sz val="12"/>
      <color rgb="FFB91C1C"/>
      <name val="Times New Roman"/>
    </font>
    <font>
      <b/>
      <i/>
      <sz val="11"/>
      <name val="Times New Roman"/>
    </font>
    <font>
      <i/>
      <sz val="1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ECFDF5"/>
        <bgColor rgb="FFECFDF5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0" fillId="7" borderId="3" xfId="0" applyFill="1" applyBorder="1"/>
    <xf numFmtId="0" fontId="9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center"/>
    </xf>
    <xf numFmtId="0" fontId="11" fillId="0" borderId="0" xfId="0" applyFont="1"/>
    <xf numFmtId="0" fontId="7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8" fillId="7" borderId="3" xfId="0" applyFont="1" applyFill="1" applyBorder="1" applyAlignment="1">
      <alignment horizontal="center" vertical="center"/>
    </xf>
    <xf numFmtId="0" fontId="0" fillId="7" borderId="3" xfId="0" applyFill="1" applyBorder="1"/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A51" workbookViewId="0">
      <selection activeCell="E59" sqref="E59"/>
    </sheetView>
  </sheetViews>
  <sheetFormatPr defaultRowHeight="14.4" x14ac:dyDescent="0.3"/>
  <cols>
    <col min="1" max="1" width="12.6640625" customWidth="1"/>
    <col min="2" max="2" width="46" customWidth="1"/>
    <col min="3" max="6" width="10" customWidth="1"/>
    <col min="7" max="7" width="12" customWidth="1"/>
    <col min="8" max="10" width="14" customWidth="1"/>
    <col min="11" max="11" width="24" customWidth="1"/>
  </cols>
  <sheetData>
    <row r="1" spans="1:11" ht="16.8" x14ac:dyDescent="0.3">
      <c r="A1" s="1" t="s">
        <v>0</v>
      </c>
      <c r="C1" s="2" t="s">
        <v>1</v>
      </c>
    </row>
    <row r="2" spans="1:11" ht="17.399999999999999" x14ac:dyDescent="0.35">
      <c r="A2" s="3" t="s">
        <v>2</v>
      </c>
      <c r="C2" s="4" t="s">
        <v>3</v>
      </c>
    </row>
    <row r="3" spans="1:11" x14ac:dyDescent="0.3">
      <c r="C3" s="5" t="s">
        <v>4</v>
      </c>
    </row>
    <row r="4" spans="1:11" ht="17.399999999999999" x14ac:dyDescent="0.3">
      <c r="A4" s="6" t="s">
        <v>5</v>
      </c>
    </row>
    <row r="5" spans="1:11" ht="15.6" x14ac:dyDescent="0.3">
      <c r="A5" s="7" t="s">
        <v>6</v>
      </c>
    </row>
    <row r="7" spans="1:11" ht="24" customHeight="1" x14ac:dyDescent="0.3">
      <c r="A7" s="29" t="s">
        <v>7</v>
      </c>
      <c r="B7" s="29" t="s">
        <v>8</v>
      </c>
      <c r="C7" s="29" t="s">
        <v>9</v>
      </c>
      <c r="D7" s="29"/>
      <c r="E7" s="29"/>
      <c r="F7" s="29"/>
      <c r="G7" s="29" t="s">
        <v>10</v>
      </c>
      <c r="H7" s="29" t="s">
        <v>11</v>
      </c>
      <c r="I7" s="29" t="s">
        <v>12</v>
      </c>
      <c r="J7" s="29" t="s">
        <v>13</v>
      </c>
      <c r="K7" s="29" t="s">
        <v>14</v>
      </c>
    </row>
    <row r="8" spans="1:11" ht="24" customHeight="1" x14ac:dyDescent="0.3">
      <c r="A8" s="29"/>
      <c r="B8" s="29"/>
      <c r="C8" s="8" t="s">
        <v>15</v>
      </c>
      <c r="D8" s="8" t="s">
        <v>16</v>
      </c>
      <c r="E8" s="8" t="s">
        <v>17</v>
      </c>
      <c r="F8" s="8" t="s">
        <v>18</v>
      </c>
      <c r="G8" s="29"/>
      <c r="H8" s="29"/>
      <c r="I8" s="29"/>
      <c r="J8" s="29"/>
      <c r="K8" s="29"/>
    </row>
    <row r="9" spans="1:11" ht="19.95" customHeight="1" x14ac:dyDescent="0.3">
      <c r="A9" s="9" t="s">
        <v>19</v>
      </c>
      <c r="B9" s="10" t="s">
        <v>20</v>
      </c>
      <c r="C9" s="9">
        <v>4</v>
      </c>
      <c r="D9" s="9">
        <v>2</v>
      </c>
      <c r="E9" s="9">
        <v>2</v>
      </c>
      <c r="F9" s="9">
        <v>0</v>
      </c>
      <c r="G9" s="9">
        <f t="shared" ref="G9:G15" si="0">C9*50</f>
        <v>200</v>
      </c>
      <c r="H9" s="9">
        <v>30</v>
      </c>
      <c r="I9" s="9">
        <v>60</v>
      </c>
      <c r="J9" s="9">
        <f t="shared" ref="J9:J15" si="1">G9-H9-I9</f>
        <v>110</v>
      </c>
      <c r="K9" s="9" t="s">
        <v>21</v>
      </c>
    </row>
    <row r="10" spans="1:11" ht="19.95" customHeight="1" x14ac:dyDescent="0.3">
      <c r="A10" s="9" t="s">
        <v>22</v>
      </c>
      <c r="B10" s="10" t="s">
        <v>23</v>
      </c>
      <c r="C10" s="9">
        <v>2</v>
      </c>
      <c r="D10" s="9">
        <v>1</v>
      </c>
      <c r="E10" s="9">
        <v>1</v>
      </c>
      <c r="F10" s="9">
        <v>0</v>
      </c>
      <c r="G10" s="9">
        <f t="shared" si="0"/>
        <v>100</v>
      </c>
      <c r="H10" s="9">
        <v>15</v>
      </c>
      <c r="I10" s="9">
        <v>30</v>
      </c>
      <c r="J10" s="9">
        <f t="shared" si="1"/>
        <v>55</v>
      </c>
      <c r="K10" s="9" t="s">
        <v>24</v>
      </c>
    </row>
    <row r="11" spans="1:11" ht="19.95" customHeight="1" x14ac:dyDescent="0.3">
      <c r="A11" s="9" t="s">
        <v>25</v>
      </c>
      <c r="B11" s="10" t="s">
        <v>26</v>
      </c>
      <c r="C11" s="9">
        <v>3</v>
      </c>
      <c r="D11" s="9">
        <v>3</v>
      </c>
      <c r="E11" s="9">
        <v>0</v>
      </c>
      <c r="F11" s="9">
        <v>0</v>
      </c>
      <c r="G11" s="9">
        <f t="shared" si="0"/>
        <v>150</v>
      </c>
      <c r="H11" s="9">
        <v>45</v>
      </c>
      <c r="I11" s="9">
        <v>0</v>
      </c>
      <c r="J11" s="9">
        <f t="shared" si="1"/>
        <v>105</v>
      </c>
      <c r="K11" s="9" t="s">
        <v>24</v>
      </c>
    </row>
    <row r="12" spans="1:11" ht="19.95" customHeight="1" x14ac:dyDescent="0.3">
      <c r="A12" s="9" t="s">
        <v>27</v>
      </c>
      <c r="B12" s="10" t="s">
        <v>28</v>
      </c>
      <c r="C12" s="9">
        <v>3</v>
      </c>
      <c r="D12" s="9">
        <v>1</v>
      </c>
      <c r="E12" s="9">
        <v>2</v>
      </c>
      <c r="F12" s="9">
        <v>0</v>
      </c>
      <c r="G12" s="9">
        <f t="shared" si="0"/>
        <v>150</v>
      </c>
      <c r="H12" s="9">
        <v>15</v>
      </c>
      <c r="I12" s="9">
        <v>60</v>
      </c>
      <c r="J12" s="9">
        <f t="shared" si="1"/>
        <v>75</v>
      </c>
      <c r="K12" s="9" t="s">
        <v>24</v>
      </c>
    </row>
    <row r="13" spans="1:11" ht="19.95" customHeight="1" x14ac:dyDescent="0.3">
      <c r="A13" s="9" t="s">
        <v>29</v>
      </c>
      <c r="B13" s="10" t="s">
        <v>30</v>
      </c>
      <c r="C13" s="9">
        <v>3</v>
      </c>
      <c r="D13" s="9">
        <v>1</v>
      </c>
      <c r="E13" s="9">
        <v>2</v>
      </c>
      <c r="F13" s="9">
        <v>0</v>
      </c>
      <c r="G13" s="9">
        <f t="shared" si="0"/>
        <v>150</v>
      </c>
      <c r="H13" s="9">
        <v>15</v>
      </c>
      <c r="I13" s="9">
        <v>60</v>
      </c>
      <c r="J13" s="9">
        <f t="shared" si="1"/>
        <v>75</v>
      </c>
      <c r="K13" s="9" t="s">
        <v>24</v>
      </c>
    </row>
    <row r="14" spans="1:11" ht="19.95" customHeight="1" x14ac:dyDescent="0.3">
      <c r="A14" s="9" t="s">
        <v>31</v>
      </c>
      <c r="B14" s="10" t="s">
        <v>32</v>
      </c>
      <c r="C14" s="9">
        <v>3</v>
      </c>
      <c r="D14" s="9">
        <v>1</v>
      </c>
      <c r="E14" s="9">
        <v>2</v>
      </c>
      <c r="F14" s="9">
        <v>0</v>
      </c>
      <c r="G14" s="9">
        <f t="shared" si="0"/>
        <v>150</v>
      </c>
      <c r="H14" s="9">
        <v>15</v>
      </c>
      <c r="I14" s="9">
        <v>60</v>
      </c>
      <c r="J14" s="9">
        <f t="shared" si="1"/>
        <v>75</v>
      </c>
      <c r="K14" s="9" t="s">
        <v>24</v>
      </c>
    </row>
    <row r="15" spans="1:11" ht="19.95" customHeight="1" x14ac:dyDescent="0.3">
      <c r="A15" s="9" t="s">
        <v>33</v>
      </c>
      <c r="B15" s="10" t="s">
        <v>34</v>
      </c>
      <c r="C15" s="9">
        <v>2</v>
      </c>
      <c r="D15" s="9">
        <v>0</v>
      </c>
      <c r="E15" s="9">
        <v>2</v>
      </c>
      <c r="F15" s="9">
        <v>0</v>
      </c>
      <c r="G15" s="9">
        <f t="shared" si="0"/>
        <v>100</v>
      </c>
      <c r="H15" s="9">
        <v>0</v>
      </c>
      <c r="I15" s="9">
        <v>60</v>
      </c>
      <c r="J15" s="9">
        <f t="shared" si="1"/>
        <v>40</v>
      </c>
      <c r="K15" s="9" t="s">
        <v>21</v>
      </c>
    </row>
    <row r="16" spans="1:11" ht="22.05" customHeight="1" x14ac:dyDescent="0.3">
      <c r="A16" s="25" t="s">
        <v>35</v>
      </c>
      <c r="B16" s="26"/>
      <c r="C16" s="11">
        <f t="shared" ref="C16:J16" si="2">SUBTOTAL(9,C9:C15)</f>
        <v>20</v>
      </c>
      <c r="D16" s="11">
        <f t="shared" si="2"/>
        <v>9</v>
      </c>
      <c r="E16" s="11">
        <f t="shared" si="2"/>
        <v>11</v>
      </c>
      <c r="F16" s="11">
        <f t="shared" si="2"/>
        <v>0</v>
      </c>
      <c r="G16" s="11">
        <f t="shared" si="2"/>
        <v>1000</v>
      </c>
      <c r="H16" s="11">
        <f t="shared" si="2"/>
        <v>135</v>
      </c>
      <c r="I16" s="11">
        <f t="shared" si="2"/>
        <v>330</v>
      </c>
      <c r="J16" s="11">
        <f t="shared" si="2"/>
        <v>535</v>
      </c>
      <c r="K16" s="12"/>
    </row>
    <row r="17" spans="1:11" ht="19.95" customHeight="1" x14ac:dyDescent="0.3">
      <c r="A17" s="9" t="s">
        <v>36</v>
      </c>
      <c r="B17" s="10" t="s">
        <v>37</v>
      </c>
      <c r="C17" s="9">
        <v>2</v>
      </c>
      <c r="D17" s="9">
        <v>2</v>
      </c>
      <c r="E17" s="9">
        <v>0</v>
      </c>
      <c r="F17" s="9">
        <v>0</v>
      </c>
      <c r="G17" s="9">
        <f t="shared" ref="G17:G23" si="3">C17*50</f>
        <v>100</v>
      </c>
      <c r="H17" s="9">
        <v>30</v>
      </c>
      <c r="I17" s="9">
        <v>0</v>
      </c>
      <c r="J17" s="9">
        <f t="shared" ref="J17:J23" si="4">G17-H17-I17</f>
        <v>70</v>
      </c>
      <c r="K17" s="9" t="s">
        <v>21</v>
      </c>
    </row>
    <row r="18" spans="1:11" ht="19.95" customHeight="1" x14ac:dyDescent="0.3">
      <c r="A18" s="9" t="s">
        <v>38</v>
      </c>
      <c r="B18" s="10" t="s">
        <v>39</v>
      </c>
      <c r="C18" s="9">
        <v>2</v>
      </c>
      <c r="D18" s="9">
        <v>1</v>
      </c>
      <c r="E18" s="9">
        <v>1</v>
      </c>
      <c r="F18" s="9">
        <v>0</v>
      </c>
      <c r="G18" s="9">
        <f t="shared" si="3"/>
        <v>100</v>
      </c>
      <c r="H18" s="9">
        <v>15</v>
      </c>
      <c r="I18" s="9">
        <v>30</v>
      </c>
      <c r="J18" s="9">
        <f t="shared" si="4"/>
        <v>55</v>
      </c>
      <c r="K18" s="9" t="s">
        <v>24</v>
      </c>
    </row>
    <row r="19" spans="1:11" ht="19.95" customHeight="1" x14ac:dyDescent="0.3">
      <c r="A19" s="9" t="s">
        <v>40</v>
      </c>
      <c r="B19" s="10" t="s">
        <v>41</v>
      </c>
      <c r="C19" s="9">
        <v>3</v>
      </c>
      <c r="D19" s="9">
        <v>2</v>
      </c>
      <c r="E19" s="9">
        <v>1</v>
      </c>
      <c r="F19" s="9">
        <v>0</v>
      </c>
      <c r="G19" s="9">
        <f t="shared" si="3"/>
        <v>150</v>
      </c>
      <c r="H19" s="9">
        <v>30</v>
      </c>
      <c r="I19" s="9">
        <v>30</v>
      </c>
      <c r="J19" s="9">
        <f t="shared" si="4"/>
        <v>90</v>
      </c>
      <c r="K19" s="9" t="s">
        <v>21</v>
      </c>
    </row>
    <row r="20" spans="1:11" ht="19.95" customHeight="1" x14ac:dyDescent="0.3">
      <c r="A20" s="9" t="s">
        <v>42</v>
      </c>
      <c r="B20" s="10" t="s">
        <v>43</v>
      </c>
      <c r="C20" s="9">
        <v>3</v>
      </c>
      <c r="D20" s="9">
        <v>1</v>
      </c>
      <c r="E20" s="9">
        <v>2</v>
      </c>
      <c r="F20" s="9">
        <v>0</v>
      </c>
      <c r="G20" s="9">
        <f t="shared" si="3"/>
        <v>150</v>
      </c>
      <c r="H20" s="9">
        <v>15</v>
      </c>
      <c r="I20" s="9">
        <v>60</v>
      </c>
      <c r="J20" s="9">
        <f t="shared" si="4"/>
        <v>75</v>
      </c>
      <c r="K20" s="9" t="s">
        <v>24</v>
      </c>
    </row>
    <row r="21" spans="1:11" ht="19.95" customHeight="1" x14ac:dyDescent="0.3">
      <c r="A21" s="9" t="s">
        <v>44</v>
      </c>
      <c r="B21" s="10" t="s">
        <v>45</v>
      </c>
      <c r="C21" s="9">
        <v>3</v>
      </c>
      <c r="D21" s="9">
        <v>2</v>
      </c>
      <c r="E21" s="9">
        <v>1</v>
      </c>
      <c r="F21" s="9">
        <v>0</v>
      </c>
      <c r="G21" s="9">
        <f t="shared" si="3"/>
        <v>150</v>
      </c>
      <c r="H21" s="9">
        <v>30</v>
      </c>
      <c r="I21" s="9">
        <v>30</v>
      </c>
      <c r="J21" s="9">
        <f t="shared" si="4"/>
        <v>90</v>
      </c>
      <c r="K21" s="9" t="s">
        <v>24</v>
      </c>
    </row>
    <row r="22" spans="1:11" ht="19.95" customHeight="1" x14ac:dyDescent="0.3">
      <c r="A22" s="9" t="s">
        <v>46</v>
      </c>
      <c r="B22" s="10" t="s">
        <v>47</v>
      </c>
      <c r="C22" s="9">
        <v>3</v>
      </c>
      <c r="D22" s="9">
        <v>1</v>
      </c>
      <c r="E22" s="9">
        <v>2</v>
      </c>
      <c r="F22" s="9">
        <v>0</v>
      </c>
      <c r="G22" s="9">
        <f t="shared" si="3"/>
        <v>150</v>
      </c>
      <c r="H22" s="9">
        <v>15</v>
      </c>
      <c r="I22" s="9">
        <v>60</v>
      </c>
      <c r="J22" s="9">
        <f t="shared" si="4"/>
        <v>75</v>
      </c>
      <c r="K22" s="9" t="s">
        <v>24</v>
      </c>
    </row>
    <row r="23" spans="1:11" ht="19.95" customHeight="1" x14ac:dyDescent="0.3">
      <c r="A23" s="9" t="s">
        <v>48</v>
      </c>
      <c r="B23" s="10" t="s">
        <v>49</v>
      </c>
      <c r="C23" s="9">
        <v>3</v>
      </c>
      <c r="D23" s="9">
        <v>1</v>
      </c>
      <c r="E23" s="9">
        <v>2</v>
      </c>
      <c r="F23" s="9">
        <v>0</v>
      </c>
      <c r="G23" s="9">
        <f t="shared" si="3"/>
        <v>150</v>
      </c>
      <c r="H23" s="9">
        <v>15</v>
      </c>
      <c r="I23" s="9">
        <v>60</v>
      </c>
      <c r="J23" s="9">
        <f t="shared" si="4"/>
        <v>75</v>
      </c>
      <c r="K23" s="9" t="s">
        <v>24</v>
      </c>
    </row>
    <row r="24" spans="1:11" ht="22.05" customHeight="1" x14ac:dyDescent="0.3">
      <c r="A24" s="25" t="s">
        <v>50</v>
      </c>
      <c r="B24" s="26"/>
      <c r="C24" s="11">
        <f t="shared" ref="C24:J24" si="5">SUBTOTAL(9,C17:C23)</f>
        <v>19</v>
      </c>
      <c r="D24" s="11">
        <f t="shared" si="5"/>
        <v>10</v>
      </c>
      <c r="E24" s="11">
        <f t="shared" si="5"/>
        <v>9</v>
      </c>
      <c r="F24" s="11">
        <f t="shared" si="5"/>
        <v>0</v>
      </c>
      <c r="G24" s="11">
        <f t="shared" si="5"/>
        <v>950</v>
      </c>
      <c r="H24" s="11">
        <f t="shared" si="5"/>
        <v>150</v>
      </c>
      <c r="I24" s="11">
        <f t="shared" si="5"/>
        <v>270</v>
      </c>
      <c r="J24" s="11">
        <f t="shared" si="5"/>
        <v>530</v>
      </c>
      <c r="K24" s="12"/>
    </row>
    <row r="25" spans="1:11" ht="19.95" customHeight="1" x14ac:dyDescent="0.3">
      <c r="A25" s="9" t="s">
        <v>51</v>
      </c>
      <c r="B25" s="10" t="s">
        <v>52</v>
      </c>
      <c r="C25" s="9">
        <v>3</v>
      </c>
      <c r="D25" s="9">
        <v>3</v>
      </c>
      <c r="E25" s="9">
        <v>0</v>
      </c>
      <c r="F25" s="9">
        <v>0</v>
      </c>
      <c r="G25" s="9">
        <f t="shared" ref="G25:G33" si="6">C25*50</f>
        <v>150</v>
      </c>
      <c r="H25" s="9">
        <v>45</v>
      </c>
      <c r="I25" s="9">
        <v>0</v>
      </c>
      <c r="J25" s="9">
        <f t="shared" ref="J25:J33" si="7">G25-H25-I25</f>
        <v>105</v>
      </c>
      <c r="K25" s="9" t="s">
        <v>21</v>
      </c>
    </row>
    <row r="26" spans="1:11" ht="19.95" customHeight="1" x14ac:dyDescent="0.3">
      <c r="A26" s="9" t="s">
        <v>53</v>
      </c>
      <c r="B26" s="10" t="s">
        <v>54</v>
      </c>
      <c r="C26" s="9">
        <v>2</v>
      </c>
      <c r="D26" s="9">
        <v>2</v>
      </c>
      <c r="E26" s="9">
        <v>0</v>
      </c>
      <c r="F26" s="9">
        <v>0</v>
      </c>
      <c r="G26" s="9">
        <f t="shared" si="6"/>
        <v>100</v>
      </c>
      <c r="H26" s="9">
        <v>30</v>
      </c>
      <c r="I26" s="9">
        <v>0</v>
      </c>
      <c r="J26" s="9">
        <f t="shared" si="7"/>
        <v>70</v>
      </c>
      <c r="K26" s="9" t="s">
        <v>21</v>
      </c>
    </row>
    <row r="27" spans="1:11" ht="19.95" customHeight="1" x14ac:dyDescent="0.3">
      <c r="A27" s="9" t="s">
        <v>55</v>
      </c>
      <c r="B27" s="10" t="s">
        <v>56</v>
      </c>
      <c r="C27" s="9">
        <v>2</v>
      </c>
      <c r="D27" s="9">
        <v>2</v>
      </c>
      <c r="E27" s="9">
        <v>0</v>
      </c>
      <c r="F27" s="9">
        <v>0</v>
      </c>
      <c r="G27" s="9">
        <f t="shared" si="6"/>
        <v>100</v>
      </c>
      <c r="H27" s="9">
        <v>30</v>
      </c>
      <c r="I27" s="9">
        <v>0</v>
      </c>
      <c r="J27" s="9">
        <f t="shared" si="7"/>
        <v>70</v>
      </c>
      <c r="K27" s="9" t="s">
        <v>21</v>
      </c>
    </row>
    <row r="28" spans="1:11" ht="19.95" customHeight="1" x14ac:dyDescent="0.3">
      <c r="A28" s="9" t="s">
        <v>57</v>
      </c>
      <c r="B28" s="10" t="s">
        <v>58</v>
      </c>
      <c r="C28" s="9">
        <v>2</v>
      </c>
      <c r="D28" s="9">
        <v>1</v>
      </c>
      <c r="E28" s="9">
        <v>1</v>
      </c>
      <c r="F28" s="9">
        <v>0</v>
      </c>
      <c r="G28" s="9">
        <f t="shared" si="6"/>
        <v>100</v>
      </c>
      <c r="H28" s="9">
        <v>15</v>
      </c>
      <c r="I28" s="9">
        <v>30</v>
      </c>
      <c r="J28" s="9">
        <f t="shared" si="7"/>
        <v>55</v>
      </c>
      <c r="K28" s="9" t="s">
        <v>24</v>
      </c>
    </row>
    <row r="29" spans="1:11" ht="19.95" customHeight="1" x14ac:dyDescent="0.3">
      <c r="A29" s="9" t="s">
        <v>59</v>
      </c>
      <c r="B29" s="10" t="s">
        <v>60</v>
      </c>
      <c r="C29" s="9">
        <v>3</v>
      </c>
      <c r="D29" s="9">
        <v>1</v>
      </c>
      <c r="E29" s="9">
        <v>2</v>
      </c>
      <c r="F29" s="9">
        <v>0</v>
      </c>
      <c r="G29" s="9">
        <f t="shared" si="6"/>
        <v>150</v>
      </c>
      <c r="H29" s="9">
        <v>22</v>
      </c>
      <c r="I29" s="9">
        <v>45</v>
      </c>
      <c r="J29" s="9">
        <f t="shared" si="7"/>
        <v>83</v>
      </c>
      <c r="K29" s="9" t="s">
        <v>24</v>
      </c>
    </row>
    <row r="30" spans="1:11" ht="19.95" customHeight="1" x14ac:dyDescent="0.3">
      <c r="A30" s="9" t="s">
        <v>61</v>
      </c>
      <c r="B30" s="10" t="s">
        <v>62</v>
      </c>
      <c r="C30" s="9">
        <v>2</v>
      </c>
      <c r="D30" s="9">
        <v>1</v>
      </c>
      <c r="E30" s="9">
        <v>1</v>
      </c>
      <c r="F30" s="9">
        <v>0</v>
      </c>
      <c r="G30" s="9">
        <f t="shared" si="6"/>
        <v>100</v>
      </c>
      <c r="H30" s="9">
        <v>15</v>
      </c>
      <c r="I30" s="9">
        <v>30</v>
      </c>
      <c r="J30" s="9">
        <f t="shared" si="7"/>
        <v>55</v>
      </c>
      <c r="K30" s="9" t="s">
        <v>24</v>
      </c>
    </row>
    <row r="31" spans="1:11" ht="19.95" customHeight="1" x14ac:dyDescent="0.3">
      <c r="A31" s="9" t="s">
        <v>63</v>
      </c>
      <c r="B31" s="10" t="s">
        <v>64</v>
      </c>
      <c r="C31" s="9">
        <v>3</v>
      </c>
      <c r="D31" s="9">
        <v>1</v>
      </c>
      <c r="E31" s="9">
        <v>2</v>
      </c>
      <c r="F31" s="9">
        <v>0</v>
      </c>
      <c r="G31" s="9">
        <f t="shared" si="6"/>
        <v>150</v>
      </c>
      <c r="H31" s="9">
        <v>15</v>
      </c>
      <c r="I31" s="9">
        <v>60</v>
      </c>
      <c r="J31" s="9">
        <f t="shared" si="7"/>
        <v>75</v>
      </c>
      <c r="K31" s="9" t="s">
        <v>24</v>
      </c>
    </row>
    <row r="32" spans="1:11" ht="19.95" customHeight="1" x14ac:dyDescent="0.3">
      <c r="A32" s="9" t="s">
        <v>65</v>
      </c>
      <c r="B32" s="10" t="s">
        <v>66</v>
      </c>
      <c r="C32" s="9">
        <v>3</v>
      </c>
      <c r="D32" s="9">
        <v>1</v>
      </c>
      <c r="E32" s="9">
        <v>2</v>
      </c>
      <c r="F32" s="9">
        <v>0</v>
      </c>
      <c r="G32" s="9">
        <f t="shared" si="6"/>
        <v>150</v>
      </c>
      <c r="H32" s="9">
        <v>22</v>
      </c>
      <c r="I32" s="9">
        <v>45</v>
      </c>
      <c r="J32" s="9">
        <f t="shared" si="7"/>
        <v>83</v>
      </c>
      <c r="K32" s="9" t="s">
        <v>24</v>
      </c>
    </row>
    <row r="33" spans="1:11" ht="19.95" customHeight="1" x14ac:dyDescent="0.3">
      <c r="A33" s="9" t="s">
        <v>67</v>
      </c>
      <c r="B33" s="10" t="s">
        <v>68</v>
      </c>
      <c r="C33" s="9">
        <v>3</v>
      </c>
      <c r="D33" s="9">
        <v>1</v>
      </c>
      <c r="E33" s="9">
        <v>2</v>
      </c>
      <c r="F33" s="9">
        <v>0</v>
      </c>
      <c r="G33" s="9">
        <f t="shared" si="6"/>
        <v>150</v>
      </c>
      <c r="H33" s="9">
        <v>22</v>
      </c>
      <c r="I33" s="9">
        <v>45</v>
      </c>
      <c r="J33" s="9">
        <f t="shared" si="7"/>
        <v>83</v>
      </c>
      <c r="K33" s="9" t="s">
        <v>24</v>
      </c>
    </row>
    <row r="34" spans="1:11" ht="22.05" customHeight="1" x14ac:dyDescent="0.3">
      <c r="A34" s="25" t="s">
        <v>69</v>
      </c>
      <c r="B34" s="26"/>
      <c r="C34" s="11">
        <f t="shared" ref="C34:J34" si="8">SUBTOTAL(9,C25:C33)</f>
        <v>23</v>
      </c>
      <c r="D34" s="11">
        <f t="shared" si="8"/>
        <v>13</v>
      </c>
      <c r="E34" s="11">
        <f t="shared" si="8"/>
        <v>10</v>
      </c>
      <c r="F34" s="11">
        <f t="shared" si="8"/>
        <v>0</v>
      </c>
      <c r="G34" s="11">
        <f t="shared" si="8"/>
        <v>1150</v>
      </c>
      <c r="H34" s="11">
        <f t="shared" si="8"/>
        <v>216</v>
      </c>
      <c r="I34" s="11">
        <f t="shared" si="8"/>
        <v>255</v>
      </c>
      <c r="J34" s="11">
        <f t="shared" si="8"/>
        <v>679</v>
      </c>
      <c r="K34" s="12"/>
    </row>
    <row r="35" spans="1:11" ht="19.95" customHeight="1" x14ac:dyDescent="0.3">
      <c r="A35" s="9" t="s">
        <v>70</v>
      </c>
      <c r="B35" s="10" t="s">
        <v>71</v>
      </c>
      <c r="C35" s="9">
        <v>2</v>
      </c>
      <c r="D35" s="9">
        <v>2</v>
      </c>
      <c r="E35" s="9">
        <v>0</v>
      </c>
      <c r="F35" s="9">
        <v>0</v>
      </c>
      <c r="G35" s="9">
        <f t="shared" ref="G35:G42" si="9">C35*50</f>
        <v>100</v>
      </c>
      <c r="H35" s="9">
        <v>30</v>
      </c>
      <c r="I35" s="9">
        <v>0</v>
      </c>
      <c r="J35" s="9">
        <f t="shared" ref="J35:J42" si="10">G35-H35-I35</f>
        <v>70</v>
      </c>
      <c r="K35" s="9" t="s">
        <v>21</v>
      </c>
    </row>
    <row r="36" spans="1:11" ht="19.95" customHeight="1" x14ac:dyDescent="0.3">
      <c r="A36" s="9" t="s">
        <v>72</v>
      </c>
      <c r="B36" s="10" t="s">
        <v>73</v>
      </c>
      <c r="C36" s="9">
        <v>3</v>
      </c>
      <c r="D36" s="9">
        <v>3</v>
      </c>
      <c r="E36" s="9">
        <v>0</v>
      </c>
      <c r="F36" s="9">
        <v>0</v>
      </c>
      <c r="G36" s="9">
        <f t="shared" si="9"/>
        <v>150</v>
      </c>
      <c r="H36" s="9">
        <v>45</v>
      </c>
      <c r="I36" s="9">
        <v>0</v>
      </c>
      <c r="J36" s="9">
        <f t="shared" si="10"/>
        <v>105</v>
      </c>
      <c r="K36" s="9" t="s">
        <v>21</v>
      </c>
    </row>
    <row r="37" spans="1:11" ht="19.95" customHeight="1" x14ac:dyDescent="0.3">
      <c r="A37" s="9" t="s">
        <v>74</v>
      </c>
      <c r="B37" s="10" t="s">
        <v>75</v>
      </c>
      <c r="C37" s="9">
        <v>3</v>
      </c>
      <c r="D37" s="9">
        <v>2</v>
      </c>
      <c r="E37" s="9">
        <v>1</v>
      </c>
      <c r="F37" s="9">
        <v>0</v>
      </c>
      <c r="G37" s="9">
        <f t="shared" si="9"/>
        <v>150</v>
      </c>
      <c r="H37" s="9">
        <v>30</v>
      </c>
      <c r="I37" s="9">
        <v>30</v>
      </c>
      <c r="J37" s="9">
        <f t="shared" si="10"/>
        <v>90</v>
      </c>
      <c r="K37" s="9" t="s">
        <v>24</v>
      </c>
    </row>
    <row r="38" spans="1:11" ht="19.95" customHeight="1" x14ac:dyDescent="0.3">
      <c r="A38" s="9" t="s">
        <v>76</v>
      </c>
      <c r="B38" s="10" t="s">
        <v>77</v>
      </c>
      <c r="C38" s="9">
        <v>3</v>
      </c>
      <c r="D38" s="9">
        <v>1</v>
      </c>
      <c r="E38" s="9">
        <v>2</v>
      </c>
      <c r="F38" s="9">
        <v>0</v>
      </c>
      <c r="G38" s="9">
        <f t="shared" si="9"/>
        <v>150</v>
      </c>
      <c r="H38" s="9">
        <v>22</v>
      </c>
      <c r="I38" s="9">
        <v>45</v>
      </c>
      <c r="J38" s="9">
        <f t="shared" si="10"/>
        <v>83</v>
      </c>
      <c r="K38" s="9" t="s">
        <v>24</v>
      </c>
    </row>
    <row r="39" spans="1:11" ht="19.95" customHeight="1" x14ac:dyDescent="0.3">
      <c r="A39" s="9" t="s">
        <v>78</v>
      </c>
      <c r="B39" s="10" t="s">
        <v>79</v>
      </c>
      <c r="C39" s="9">
        <v>3</v>
      </c>
      <c r="D39" s="9">
        <v>1</v>
      </c>
      <c r="E39" s="9">
        <v>2</v>
      </c>
      <c r="F39" s="9">
        <v>0</v>
      </c>
      <c r="G39" s="9">
        <f t="shared" si="9"/>
        <v>150</v>
      </c>
      <c r="H39" s="9">
        <v>22</v>
      </c>
      <c r="I39" s="9">
        <v>45</v>
      </c>
      <c r="J39" s="9">
        <f t="shared" si="10"/>
        <v>83</v>
      </c>
      <c r="K39" s="9" t="s">
        <v>24</v>
      </c>
    </row>
    <row r="40" spans="1:11" ht="19.95" customHeight="1" x14ac:dyDescent="0.3">
      <c r="A40" s="9" t="s">
        <v>80</v>
      </c>
      <c r="B40" s="10" t="s">
        <v>81</v>
      </c>
      <c r="C40" s="9">
        <v>3</v>
      </c>
      <c r="D40" s="9">
        <v>1</v>
      </c>
      <c r="E40" s="9">
        <v>2</v>
      </c>
      <c r="F40" s="9">
        <v>0</v>
      </c>
      <c r="G40" s="9">
        <f t="shared" si="9"/>
        <v>150</v>
      </c>
      <c r="H40" s="9">
        <v>15</v>
      </c>
      <c r="I40" s="9">
        <v>60</v>
      </c>
      <c r="J40" s="9">
        <f t="shared" si="10"/>
        <v>75</v>
      </c>
      <c r="K40" s="9" t="s">
        <v>24</v>
      </c>
    </row>
    <row r="41" spans="1:11" ht="19.95" customHeight="1" x14ac:dyDescent="0.3">
      <c r="A41" s="9" t="s">
        <v>82</v>
      </c>
      <c r="B41" s="10" t="s">
        <v>83</v>
      </c>
      <c r="C41" s="9">
        <v>3</v>
      </c>
      <c r="D41" s="9">
        <v>1</v>
      </c>
      <c r="E41" s="9">
        <v>2</v>
      </c>
      <c r="F41" s="9">
        <v>0</v>
      </c>
      <c r="G41" s="9">
        <f t="shared" si="9"/>
        <v>150</v>
      </c>
      <c r="H41" s="9">
        <v>22</v>
      </c>
      <c r="I41" s="9">
        <v>45</v>
      </c>
      <c r="J41" s="9">
        <f t="shared" si="10"/>
        <v>83</v>
      </c>
      <c r="K41" s="9" t="s">
        <v>24</v>
      </c>
    </row>
    <row r="42" spans="1:11" ht="19.95" customHeight="1" x14ac:dyDescent="0.3">
      <c r="A42" s="9" t="s">
        <v>84</v>
      </c>
      <c r="B42" s="10" t="s">
        <v>85</v>
      </c>
      <c r="C42" s="9">
        <v>2</v>
      </c>
      <c r="D42" s="9">
        <v>0</v>
      </c>
      <c r="E42" s="9">
        <v>2</v>
      </c>
      <c r="F42" s="9">
        <v>0</v>
      </c>
      <c r="G42" s="9">
        <f t="shared" si="9"/>
        <v>100</v>
      </c>
      <c r="H42" s="9">
        <v>0</v>
      </c>
      <c r="I42" s="9">
        <v>60</v>
      </c>
      <c r="J42" s="9">
        <f t="shared" si="10"/>
        <v>40</v>
      </c>
      <c r="K42" s="9" t="s">
        <v>24</v>
      </c>
    </row>
    <row r="43" spans="1:11" ht="22.05" customHeight="1" x14ac:dyDescent="0.3">
      <c r="A43" s="25" t="s">
        <v>86</v>
      </c>
      <c r="B43" s="26"/>
      <c r="C43" s="11">
        <f t="shared" ref="C43:J43" si="11">SUBTOTAL(9,C35:C42)</f>
        <v>22</v>
      </c>
      <c r="D43" s="11">
        <f t="shared" si="11"/>
        <v>11</v>
      </c>
      <c r="E43" s="11">
        <f t="shared" si="11"/>
        <v>11</v>
      </c>
      <c r="F43" s="11">
        <f t="shared" si="11"/>
        <v>0</v>
      </c>
      <c r="G43" s="11">
        <f t="shared" si="11"/>
        <v>1100</v>
      </c>
      <c r="H43" s="11">
        <f t="shared" si="11"/>
        <v>186</v>
      </c>
      <c r="I43" s="11">
        <f t="shared" si="11"/>
        <v>285</v>
      </c>
      <c r="J43" s="11">
        <f t="shared" si="11"/>
        <v>629</v>
      </c>
      <c r="K43" s="12"/>
    </row>
    <row r="44" spans="1:11" ht="19.95" customHeight="1" x14ac:dyDescent="0.3">
      <c r="A44" s="9" t="s">
        <v>87</v>
      </c>
      <c r="B44" s="10" t="s">
        <v>88</v>
      </c>
      <c r="C44" s="9">
        <v>2</v>
      </c>
      <c r="D44" s="9">
        <v>2</v>
      </c>
      <c r="E44" s="9">
        <v>0</v>
      </c>
      <c r="F44" s="9">
        <v>0</v>
      </c>
      <c r="G44" s="9">
        <f t="shared" ref="G44:G49" si="12">C44*50</f>
        <v>100</v>
      </c>
      <c r="H44" s="9">
        <v>30</v>
      </c>
      <c r="I44" s="9">
        <v>0</v>
      </c>
      <c r="J44" s="9">
        <f t="shared" ref="J44:J49" si="13">G44-H44-I44</f>
        <v>70</v>
      </c>
      <c r="K44" s="9" t="s">
        <v>21</v>
      </c>
    </row>
    <row r="45" spans="1:11" ht="19.95" customHeight="1" x14ac:dyDescent="0.3">
      <c r="A45" s="9" t="s">
        <v>89</v>
      </c>
      <c r="B45" s="10" t="s">
        <v>90</v>
      </c>
      <c r="C45" s="9">
        <v>3</v>
      </c>
      <c r="D45" s="9">
        <v>2</v>
      </c>
      <c r="E45" s="9">
        <v>1</v>
      </c>
      <c r="F45" s="9">
        <v>0</v>
      </c>
      <c r="G45" s="9">
        <f t="shared" si="12"/>
        <v>150</v>
      </c>
      <c r="H45" s="9">
        <v>30</v>
      </c>
      <c r="I45" s="9">
        <v>30</v>
      </c>
      <c r="J45" s="9">
        <f t="shared" si="13"/>
        <v>90</v>
      </c>
      <c r="K45" s="9" t="s">
        <v>24</v>
      </c>
    </row>
    <row r="46" spans="1:11" ht="19.95" customHeight="1" x14ac:dyDescent="0.3">
      <c r="A46" s="9" t="s">
        <v>91</v>
      </c>
      <c r="B46" s="10" t="s">
        <v>92</v>
      </c>
      <c r="C46" s="9">
        <v>3</v>
      </c>
      <c r="D46" s="9">
        <v>1</v>
      </c>
      <c r="E46" s="9">
        <v>2</v>
      </c>
      <c r="F46" s="9">
        <v>0</v>
      </c>
      <c r="G46" s="9">
        <f t="shared" si="12"/>
        <v>150</v>
      </c>
      <c r="H46" s="9">
        <v>22</v>
      </c>
      <c r="I46" s="9">
        <v>45</v>
      </c>
      <c r="J46" s="9">
        <f t="shared" si="13"/>
        <v>83</v>
      </c>
      <c r="K46" s="9" t="s">
        <v>24</v>
      </c>
    </row>
    <row r="47" spans="1:11" ht="19.95" customHeight="1" x14ac:dyDescent="0.3">
      <c r="A47" s="13" t="s">
        <v>93</v>
      </c>
      <c r="B47" s="14" t="s">
        <v>94</v>
      </c>
      <c r="C47" s="13">
        <v>3</v>
      </c>
      <c r="D47" s="13">
        <v>1</v>
      </c>
      <c r="E47" s="13">
        <v>2</v>
      </c>
      <c r="F47" s="13">
        <v>0</v>
      </c>
      <c r="G47" s="13">
        <f t="shared" si="12"/>
        <v>150</v>
      </c>
      <c r="H47" s="13">
        <v>15</v>
      </c>
      <c r="I47" s="13">
        <v>60</v>
      </c>
      <c r="J47" s="13">
        <f t="shared" si="13"/>
        <v>75</v>
      </c>
      <c r="K47" s="13" t="s">
        <v>95</v>
      </c>
    </row>
    <row r="48" spans="1:11" ht="19.95" customHeight="1" x14ac:dyDescent="0.3">
      <c r="A48" s="15" t="s">
        <v>96</v>
      </c>
      <c r="B48" s="16" t="s">
        <v>97</v>
      </c>
      <c r="C48" s="15">
        <v>3</v>
      </c>
      <c r="D48" s="15">
        <v>1</v>
      </c>
      <c r="E48" s="15">
        <v>2</v>
      </c>
      <c r="F48" s="15">
        <v>0</v>
      </c>
      <c r="G48" s="15">
        <f t="shared" si="12"/>
        <v>150</v>
      </c>
      <c r="H48" s="15">
        <v>22</v>
      </c>
      <c r="I48" s="15">
        <v>45</v>
      </c>
      <c r="J48" s="15">
        <f t="shared" si="13"/>
        <v>83</v>
      </c>
      <c r="K48" s="15" t="s">
        <v>98</v>
      </c>
    </row>
    <row r="49" spans="1:11" ht="19.95" customHeight="1" x14ac:dyDescent="0.3">
      <c r="A49" s="17" t="s">
        <v>99</v>
      </c>
      <c r="B49" s="18" t="s">
        <v>100</v>
      </c>
      <c r="C49" s="17">
        <v>3</v>
      </c>
      <c r="D49" s="17">
        <v>1</v>
      </c>
      <c r="E49" s="17">
        <v>2</v>
      </c>
      <c r="F49" s="17">
        <v>0</v>
      </c>
      <c r="G49" s="17">
        <f t="shared" si="12"/>
        <v>150</v>
      </c>
      <c r="H49" s="17">
        <v>15</v>
      </c>
      <c r="I49" s="17">
        <v>60</v>
      </c>
      <c r="J49" s="17">
        <f t="shared" si="13"/>
        <v>75</v>
      </c>
      <c r="K49" s="17" t="s">
        <v>101</v>
      </c>
    </row>
    <row r="50" spans="1:11" ht="22.05" customHeight="1" x14ac:dyDescent="0.3">
      <c r="A50" s="25" t="s">
        <v>102</v>
      </c>
      <c r="B50" s="26"/>
      <c r="C50" s="11">
        <f t="shared" ref="C50:J50" si="14">SUBTOTAL(9,C44:C49)</f>
        <v>17</v>
      </c>
      <c r="D50" s="11">
        <f t="shared" si="14"/>
        <v>8</v>
      </c>
      <c r="E50" s="11">
        <f t="shared" si="14"/>
        <v>9</v>
      </c>
      <c r="F50" s="11">
        <f t="shared" si="14"/>
        <v>0</v>
      </c>
      <c r="G50" s="11">
        <f t="shared" si="14"/>
        <v>850</v>
      </c>
      <c r="H50" s="11">
        <f t="shared" si="14"/>
        <v>134</v>
      </c>
      <c r="I50" s="11">
        <f t="shared" si="14"/>
        <v>240</v>
      </c>
      <c r="J50" s="11">
        <f t="shared" si="14"/>
        <v>476</v>
      </c>
      <c r="K50" s="12"/>
    </row>
    <row r="51" spans="1:11" ht="19.95" customHeight="1" x14ac:dyDescent="0.3">
      <c r="A51" s="9" t="s">
        <v>103</v>
      </c>
      <c r="B51" s="10" t="s">
        <v>104</v>
      </c>
      <c r="C51" s="9">
        <v>3</v>
      </c>
      <c r="D51" s="9">
        <v>2</v>
      </c>
      <c r="E51" s="9">
        <v>1</v>
      </c>
      <c r="F51" s="9">
        <v>0</v>
      </c>
      <c r="G51" s="9">
        <f t="shared" ref="G51:G56" si="15">C51*50</f>
        <v>150</v>
      </c>
      <c r="H51" s="9">
        <v>30</v>
      </c>
      <c r="I51" s="9">
        <v>30</v>
      </c>
      <c r="J51" s="9">
        <f t="shared" ref="J51:J56" si="16">G51-H51-I51</f>
        <v>90</v>
      </c>
      <c r="K51" s="9" t="s">
        <v>24</v>
      </c>
    </row>
    <row r="52" spans="1:11" ht="19.95" customHeight="1" x14ac:dyDescent="0.3">
      <c r="A52" s="9" t="s">
        <v>105</v>
      </c>
      <c r="B52" s="10" t="s">
        <v>106</v>
      </c>
      <c r="C52" s="9">
        <v>3</v>
      </c>
      <c r="D52" s="9">
        <v>2</v>
      </c>
      <c r="E52" s="9">
        <v>1</v>
      </c>
      <c r="F52" s="9">
        <v>0</v>
      </c>
      <c r="G52" s="9">
        <f t="shared" si="15"/>
        <v>150</v>
      </c>
      <c r="H52" s="9">
        <v>30</v>
      </c>
      <c r="I52" s="9">
        <v>30</v>
      </c>
      <c r="J52" s="9">
        <f t="shared" si="16"/>
        <v>90</v>
      </c>
      <c r="K52" s="9" t="s">
        <v>24</v>
      </c>
    </row>
    <row r="53" spans="1:11" ht="19.95" customHeight="1" x14ac:dyDescent="0.3">
      <c r="A53" s="13" t="s">
        <v>107</v>
      </c>
      <c r="B53" s="14" t="s">
        <v>108</v>
      </c>
      <c r="C53" s="13">
        <v>3</v>
      </c>
      <c r="D53" s="13">
        <v>1</v>
      </c>
      <c r="E53" s="13">
        <v>2</v>
      </c>
      <c r="F53" s="13">
        <v>0</v>
      </c>
      <c r="G53" s="13">
        <f t="shared" si="15"/>
        <v>150</v>
      </c>
      <c r="H53" s="13">
        <v>15</v>
      </c>
      <c r="I53" s="13">
        <v>60</v>
      </c>
      <c r="J53" s="13">
        <f t="shared" si="16"/>
        <v>75</v>
      </c>
      <c r="K53" s="13" t="s">
        <v>95</v>
      </c>
    </row>
    <row r="54" spans="1:11" ht="19.95" customHeight="1" x14ac:dyDescent="0.3">
      <c r="A54" s="15" t="s">
        <v>109</v>
      </c>
      <c r="B54" s="16" t="s">
        <v>110</v>
      </c>
      <c r="C54" s="15">
        <v>3</v>
      </c>
      <c r="D54" s="15">
        <v>1</v>
      </c>
      <c r="E54" s="15">
        <v>2</v>
      </c>
      <c r="F54" s="15">
        <v>0</v>
      </c>
      <c r="G54" s="15">
        <f t="shared" si="15"/>
        <v>150</v>
      </c>
      <c r="H54" s="15">
        <v>22</v>
      </c>
      <c r="I54" s="15">
        <v>45</v>
      </c>
      <c r="J54" s="15">
        <f t="shared" si="16"/>
        <v>83</v>
      </c>
      <c r="K54" s="15" t="s">
        <v>98</v>
      </c>
    </row>
    <row r="55" spans="1:11" ht="19.95" customHeight="1" x14ac:dyDescent="0.3">
      <c r="A55" s="15" t="s">
        <v>111</v>
      </c>
      <c r="B55" s="16" t="s">
        <v>112</v>
      </c>
      <c r="C55" s="15">
        <v>3</v>
      </c>
      <c r="D55" s="15">
        <v>1</v>
      </c>
      <c r="E55" s="15">
        <v>2</v>
      </c>
      <c r="F55" s="15">
        <v>0</v>
      </c>
      <c r="G55" s="15">
        <f t="shared" si="15"/>
        <v>150</v>
      </c>
      <c r="H55" s="15">
        <v>22</v>
      </c>
      <c r="I55" s="15">
        <v>45</v>
      </c>
      <c r="J55" s="15">
        <f t="shared" si="16"/>
        <v>83</v>
      </c>
      <c r="K55" s="15" t="s">
        <v>98</v>
      </c>
    </row>
    <row r="56" spans="1:11" ht="19.95" customHeight="1" x14ac:dyDescent="0.3">
      <c r="A56" s="17" t="s">
        <v>113</v>
      </c>
      <c r="B56" s="18" t="s">
        <v>114</v>
      </c>
      <c r="C56" s="17">
        <v>3</v>
      </c>
      <c r="D56" s="17">
        <v>1</v>
      </c>
      <c r="E56" s="17">
        <v>2</v>
      </c>
      <c r="F56" s="17">
        <v>0</v>
      </c>
      <c r="G56" s="17">
        <f t="shared" si="15"/>
        <v>150</v>
      </c>
      <c r="H56" s="17">
        <v>22</v>
      </c>
      <c r="I56" s="17">
        <v>45</v>
      </c>
      <c r="J56" s="17">
        <f t="shared" si="16"/>
        <v>83</v>
      </c>
      <c r="K56" s="17" t="s">
        <v>101</v>
      </c>
    </row>
    <row r="57" spans="1:11" ht="22.05" customHeight="1" x14ac:dyDescent="0.3">
      <c r="A57" s="25" t="s">
        <v>115</v>
      </c>
      <c r="B57" s="26"/>
      <c r="C57" s="11">
        <f t="shared" ref="C57:J57" si="17">SUBTOTAL(9,C51:C56)</f>
        <v>18</v>
      </c>
      <c r="D57" s="11">
        <f t="shared" si="17"/>
        <v>8</v>
      </c>
      <c r="E57" s="11">
        <f t="shared" si="17"/>
        <v>10</v>
      </c>
      <c r="F57" s="11">
        <f t="shared" si="17"/>
        <v>0</v>
      </c>
      <c r="G57" s="11">
        <f t="shared" si="17"/>
        <v>900</v>
      </c>
      <c r="H57" s="11">
        <f t="shared" si="17"/>
        <v>141</v>
      </c>
      <c r="I57" s="11">
        <f t="shared" si="17"/>
        <v>255</v>
      </c>
      <c r="J57" s="11">
        <f t="shared" si="17"/>
        <v>504</v>
      </c>
      <c r="K57" s="12"/>
    </row>
    <row r="58" spans="1:11" ht="19.95" customHeight="1" x14ac:dyDescent="0.3">
      <c r="A58" s="9" t="s">
        <v>116</v>
      </c>
      <c r="B58" s="10" t="s">
        <v>117</v>
      </c>
      <c r="C58" s="9">
        <v>3</v>
      </c>
      <c r="D58" s="9">
        <v>2</v>
      </c>
      <c r="E58" s="9">
        <v>1</v>
      </c>
      <c r="F58" s="9">
        <v>0</v>
      </c>
      <c r="G58" s="9">
        <f t="shared" ref="G58:G63" si="18">C58*50</f>
        <v>150</v>
      </c>
      <c r="H58" s="9">
        <v>30</v>
      </c>
      <c r="I58" s="9">
        <v>30</v>
      </c>
      <c r="J58" s="9">
        <f t="shared" ref="J58:J63" si="19">G58-H58-I58</f>
        <v>90</v>
      </c>
      <c r="K58" s="9" t="s">
        <v>24</v>
      </c>
    </row>
    <row r="59" spans="1:11" ht="19.95" customHeight="1" x14ac:dyDescent="0.3">
      <c r="A59" s="13" t="s">
        <v>118</v>
      </c>
      <c r="B59" s="14" t="s">
        <v>119</v>
      </c>
      <c r="C59" s="13">
        <v>3</v>
      </c>
      <c r="D59" s="13">
        <v>1</v>
      </c>
      <c r="E59" s="13">
        <v>2</v>
      </c>
      <c r="F59" s="13">
        <v>0</v>
      </c>
      <c r="G59" s="13">
        <f t="shared" si="18"/>
        <v>150</v>
      </c>
      <c r="H59" s="13">
        <v>15</v>
      </c>
      <c r="I59" s="13">
        <v>60</v>
      </c>
      <c r="J59" s="13">
        <f t="shared" si="19"/>
        <v>75</v>
      </c>
      <c r="K59" s="13" t="s">
        <v>95</v>
      </c>
    </row>
    <row r="60" spans="1:11" ht="19.95" customHeight="1" x14ac:dyDescent="0.3">
      <c r="A60" s="13" t="s">
        <v>120</v>
      </c>
      <c r="B60" s="14" t="s">
        <v>121</v>
      </c>
      <c r="C60" s="13">
        <v>3</v>
      </c>
      <c r="D60" s="13">
        <v>1</v>
      </c>
      <c r="E60" s="13">
        <v>2</v>
      </c>
      <c r="F60" s="13">
        <v>0</v>
      </c>
      <c r="G60" s="13">
        <f t="shared" si="18"/>
        <v>150</v>
      </c>
      <c r="H60" s="13">
        <v>15</v>
      </c>
      <c r="I60" s="13">
        <v>60</v>
      </c>
      <c r="J60" s="13">
        <f t="shared" si="19"/>
        <v>75</v>
      </c>
      <c r="K60" s="13" t="s">
        <v>95</v>
      </c>
    </row>
    <row r="61" spans="1:11" ht="19.95" customHeight="1" x14ac:dyDescent="0.3">
      <c r="A61" s="15" t="s">
        <v>122</v>
      </c>
      <c r="B61" s="16" t="s">
        <v>123</v>
      </c>
      <c r="C61" s="15">
        <v>3</v>
      </c>
      <c r="D61" s="15">
        <v>1</v>
      </c>
      <c r="E61" s="15">
        <v>2</v>
      </c>
      <c r="F61" s="15">
        <v>0</v>
      </c>
      <c r="G61" s="15">
        <f t="shared" si="18"/>
        <v>150</v>
      </c>
      <c r="H61" s="15">
        <v>22</v>
      </c>
      <c r="I61" s="15">
        <v>45</v>
      </c>
      <c r="J61" s="15">
        <f t="shared" si="19"/>
        <v>83</v>
      </c>
      <c r="K61" s="15" t="s">
        <v>98</v>
      </c>
    </row>
    <row r="62" spans="1:11" ht="19.95" customHeight="1" x14ac:dyDescent="0.3">
      <c r="A62" s="17" t="s">
        <v>124</v>
      </c>
      <c r="B62" s="18" t="s">
        <v>125</v>
      </c>
      <c r="C62" s="17">
        <v>3</v>
      </c>
      <c r="D62" s="17">
        <v>1</v>
      </c>
      <c r="E62" s="17">
        <v>2</v>
      </c>
      <c r="F62" s="17">
        <v>0</v>
      </c>
      <c r="G62" s="17">
        <f t="shared" si="18"/>
        <v>150</v>
      </c>
      <c r="H62" s="17">
        <v>22</v>
      </c>
      <c r="I62" s="17">
        <v>45</v>
      </c>
      <c r="J62" s="17">
        <f t="shared" si="19"/>
        <v>83</v>
      </c>
      <c r="K62" s="17" t="s">
        <v>101</v>
      </c>
    </row>
    <row r="63" spans="1:11" ht="19.95" customHeight="1" x14ac:dyDescent="0.3">
      <c r="A63" s="17" t="s">
        <v>126</v>
      </c>
      <c r="B63" s="18" t="s">
        <v>127</v>
      </c>
      <c r="C63" s="17">
        <v>2</v>
      </c>
      <c r="D63" s="17">
        <v>1</v>
      </c>
      <c r="E63" s="17">
        <v>1</v>
      </c>
      <c r="F63" s="17">
        <v>0</v>
      </c>
      <c r="G63" s="17">
        <f t="shared" si="18"/>
        <v>100</v>
      </c>
      <c r="H63" s="17">
        <v>15</v>
      </c>
      <c r="I63" s="17">
        <v>30</v>
      </c>
      <c r="J63" s="17">
        <f t="shared" si="19"/>
        <v>55</v>
      </c>
      <c r="K63" s="17" t="s">
        <v>101</v>
      </c>
    </row>
    <row r="64" spans="1:11" ht="22.05" customHeight="1" x14ac:dyDescent="0.3">
      <c r="A64" s="25" t="s">
        <v>128</v>
      </c>
      <c r="B64" s="26"/>
      <c r="C64" s="11">
        <f t="shared" ref="C64:J64" si="20">SUBTOTAL(9,C58:C63)</f>
        <v>17</v>
      </c>
      <c r="D64" s="11">
        <f t="shared" si="20"/>
        <v>7</v>
      </c>
      <c r="E64" s="11">
        <f t="shared" si="20"/>
        <v>10</v>
      </c>
      <c r="F64" s="11">
        <f t="shared" si="20"/>
        <v>0</v>
      </c>
      <c r="G64" s="11">
        <f t="shared" si="20"/>
        <v>850</v>
      </c>
      <c r="H64" s="11">
        <f t="shared" si="20"/>
        <v>119</v>
      </c>
      <c r="I64" s="11">
        <f t="shared" si="20"/>
        <v>270</v>
      </c>
      <c r="J64" s="11">
        <f t="shared" si="20"/>
        <v>461</v>
      </c>
      <c r="K64" s="12"/>
    </row>
    <row r="65" spans="1:11" ht="19.95" customHeight="1" x14ac:dyDescent="0.3">
      <c r="A65" s="9" t="s">
        <v>129</v>
      </c>
      <c r="B65" s="10" t="s">
        <v>130</v>
      </c>
      <c r="C65" s="9">
        <v>6</v>
      </c>
      <c r="D65" s="9">
        <v>0</v>
      </c>
      <c r="E65" s="9">
        <v>6</v>
      </c>
      <c r="F65" s="9">
        <v>0</v>
      </c>
      <c r="G65" s="9">
        <f>C65*50</f>
        <v>300</v>
      </c>
      <c r="H65" s="9">
        <v>0</v>
      </c>
      <c r="I65" s="9">
        <v>300</v>
      </c>
      <c r="J65" s="9">
        <f>G65-H65-I65</f>
        <v>0</v>
      </c>
      <c r="K65" s="9" t="s">
        <v>131</v>
      </c>
    </row>
    <row r="66" spans="1:11" ht="19.95" customHeight="1" x14ac:dyDescent="0.3">
      <c r="A66" s="9" t="s">
        <v>132</v>
      </c>
      <c r="B66" s="10" t="s">
        <v>133</v>
      </c>
      <c r="C66" s="9">
        <v>8</v>
      </c>
      <c r="D66" s="9">
        <v>0</v>
      </c>
      <c r="E66" s="9">
        <v>8</v>
      </c>
      <c r="F66" s="9">
        <v>0</v>
      </c>
      <c r="G66" s="9">
        <f>C66*50</f>
        <v>400</v>
      </c>
      <c r="H66" s="9">
        <v>0</v>
      </c>
      <c r="I66" s="9">
        <v>400</v>
      </c>
      <c r="J66" s="9">
        <f>G66-H66-I66</f>
        <v>0</v>
      </c>
      <c r="K66" s="9" t="s">
        <v>134</v>
      </c>
    </row>
    <row r="67" spans="1:11" ht="22.05" customHeight="1" x14ac:dyDescent="0.3">
      <c r="A67" s="25" t="s">
        <v>135</v>
      </c>
      <c r="B67" s="26"/>
      <c r="C67" s="11">
        <f t="shared" ref="C67:J67" si="21">SUBTOTAL(9,C65:C66)</f>
        <v>14</v>
      </c>
      <c r="D67" s="11">
        <f t="shared" si="21"/>
        <v>0</v>
      </c>
      <c r="E67" s="11">
        <f t="shared" si="21"/>
        <v>14</v>
      </c>
      <c r="F67" s="11">
        <f t="shared" si="21"/>
        <v>0</v>
      </c>
      <c r="G67" s="11">
        <f t="shared" si="21"/>
        <v>700</v>
      </c>
      <c r="H67" s="11">
        <f t="shared" si="21"/>
        <v>0</v>
      </c>
      <c r="I67" s="11">
        <f t="shared" si="21"/>
        <v>700</v>
      </c>
      <c r="J67" s="11">
        <f t="shared" si="21"/>
        <v>0</v>
      </c>
      <c r="K67" s="12"/>
    </row>
    <row r="68" spans="1:11" ht="25.05" customHeight="1" x14ac:dyDescent="0.3">
      <c r="A68" s="27" t="s">
        <v>136</v>
      </c>
      <c r="B68" s="28"/>
      <c r="C68" s="20">
        <f t="shared" ref="C68:J68" si="22">SUM(C16,C24,C34,C43,C50,C57,C64,C67)</f>
        <v>150</v>
      </c>
      <c r="D68" s="21">
        <f t="shared" si="22"/>
        <v>66</v>
      </c>
      <c r="E68" s="21">
        <f t="shared" si="22"/>
        <v>84</v>
      </c>
      <c r="F68" s="21">
        <f t="shared" si="22"/>
        <v>0</v>
      </c>
      <c r="G68" s="21">
        <f t="shared" si="22"/>
        <v>7500</v>
      </c>
      <c r="H68" s="21">
        <f t="shared" si="22"/>
        <v>1081</v>
      </c>
      <c r="I68" s="21">
        <f t="shared" si="22"/>
        <v>2605</v>
      </c>
      <c r="J68" s="21">
        <f t="shared" si="22"/>
        <v>3814</v>
      </c>
      <c r="K68" s="19"/>
    </row>
    <row r="71" spans="1:11" ht="15.6" x14ac:dyDescent="0.3">
      <c r="A71" s="22" t="s">
        <v>137</v>
      </c>
      <c r="H71" s="23" t="s">
        <v>138</v>
      </c>
    </row>
    <row r="72" spans="1:11" x14ac:dyDescent="0.3">
      <c r="A72" s="24" t="s">
        <v>139</v>
      </c>
    </row>
    <row r="73" spans="1:11" x14ac:dyDescent="0.3">
      <c r="A73" s="24" t="s">
        <v>140</v>
      </c>
    </row>
    <row r="74" spans="1:11" x14ac:dyDescent="0.3">
      <c r="A74" s="24" t="s">
        <v>141</v>
      </c>
    </row>
    <row r="75" spans="1:11" x14ac:dyDescent="0.3">
      <c r="A75" s="24" t="s">
        <v>142</v>
      </c>
    </row>
  </sheetData>
  <mergeCells count="17">
    <mergeCell ref="H7:H8"/>
    <mergeCell ref="I7:I8"/>
    <mergeCell ref="K7:K8"/>
    <mergeCell ref="J7:J8"/>
    <mergeCell ref="A67:B67"/>
    <mergeCell ref="A34:B34"/>
    <mergeCell ref="A50:B50"/>
    <mergeCell ref="A68:B68"/>
    <mergeCell ref="A7:A8"/>
    <mergeCell ref="C7:F7"/>
    <mergeCell ref="B7:B8"/>
    <mergeCell ref="G7:G8"/>
    <mergeCell ref="A24:B24"/>
    <mergeCell ref="A16:B16"/>
    <mergeCell ref="A64:B64"/>
    <mergeCell ref="A43:B43"/>
    <mergeCell ref="A57:B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CTDT_TichHop_150TC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Phuc</cp:lastModifiedBy>
  <dcterms:created xsi:type="dcterms:W3CDTF">2026-09-14T09:39:55Z</dcterms:created>
  <dcterms:modified xsi:type="dcterms:W3CDTF">2026-09-15T02:01:17Z</dcterms:modified>
</cp:coreProperties>
</file>